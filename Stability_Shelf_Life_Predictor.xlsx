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1" documentId="8_{5574D92A-1209-4264-A221-5A4E6B704095}" xr6:coauthVersionLast="47" xr6:coauthVersionMax="47" xr10:uidLastSave="{89C93AB1-ED73-467C-B71A-1601E6D73B16}"/>
  <bookViews>
    <workbookView xWindow="-110" yWindow="-110" windowWidth="19420" windowHeight="10300" xr2:uid="{E1DCD97D-EB2F-42A5-B073-DE42445DE2F0}"/>
  </bookViews>
  <sheets>
    <sheet name="Dashboard" sheetId="3" r:id="rId1"/>
    <sheet name="Calc" sheetId="2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5" i="3" l="1"/>
  <c r="M35" i="3"/>
  <c r="F35" i="3"/>
  <c r="T34" i="3"/>
  <c r="M34" i="3"/>
  <c r="F34" i="3"/>
  <c r="T33" i="3"/>
  <c r="M33" i="3"/>
  <c r="F33" i="3"/>
  <c r="T32" i="3"/>
  <c r="M32" i="3"/>
  <c r="F32" i="3"/>
  <c r="T31" i="3"/>
  <c r="M31" i="3"/>
  <c r="F31" i="3"/>
  <c r="V7" i="3"/>
  <c r="Q7" i="3"/>
  <c r="L7" i="3"/>
  <c r="G7" i="3"/>
  <c r="B7" i="3"/>
  <c r="L36" i="2"/>
  <c r="L37" i="2"/>
  <c r="L38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K31" i="2"/>
  <c r="K32" i="2"/>
  <c r="K33" i="2"/>
  <c r="K34" i="2"/>
  <c r="K35" i="2"/>
  <c r="K36" i="2"/>
  <c r="K37" i="2"/>
  <c r="K38" i="2"/>
  <c r="K39" i="2"/>
  <c r="K40" i="2"/>
  <c r="J31" i="2"/>
  <c r="J32" i="2"/>
  <c r="J33" i="2"/>
  <c r="J34" i="2"/>
  <c r="J35" i="2"/>
  <c r="J36" i="2"/>
  <c r="J37" i="2"/>
  <c r="J38" i="2"/>
  <c r="J39" i="2"/>
  <c r="J40" i="2"/>
  <c r="I31" i="2"/>
  <c r="I32" i="2"/>
  <c r="I33" i="2"/>
  <c r="I34" i="2"/>
  <c r="I35" i="2"/>
  <c r="I36" i="2"/>
  <c r="I37" i="2"/>
  <c r="I38" i="2"/>
  <c r="I39" i="2"/>
  <c r="I40" i="2"/>
  <c r="H31" i="2"/>
  <c r="H32" i="2"/>
  <c r="H33" i="2"/>
  <c r="H34" i="2"/>
  <c r="H35" i="2"/>
  <c r="H36" i="2"/>
  <c r="H37" i="2"/>
  <c r="H38" i="2"/>
  <c r="H39" i="2"/>
  <c r="H40" i="2"/>
  <c r="G31" i="2"/>
  <c r="G32" i="2"/>
  <c r="G33" i="2"/>
  <c r="G34" i="2"/>
  <c r="G35" i="2"/>
  <c r="G36" i="2"/>
  <c r="G37" i="2"/>
  <c r="G38" i="2"/>
  <c r="G39" i="2"/>
  <c r="G40" i="2"/>
  <c r="F31" i="2"/>
  <c r="F32" i="2"/>
  <c r="F33" i="2"/>
  <c r="F34" i="2"/>
  <c r="F35" i="2"/>
  <c r="F36" i="2"/>
  <c r="F37" i="2"/>
  <c r="F38" i="2"/>
  <c r="F39" i="2"/>
  <c r="F40" i="2"/>
  <c r="E31" i="2"/>
  <c r="E32" i="2"/>
  <c r="E33" i="2"/>
  <c r="E34" i="2"/>
  <c r="E35" i="2"/>
  <c r="E36" i="2"/>
  <c r="E37" i="2"/>
  <c r="E38" i="2"/>
  <c r="E39" i="2"/>
  <c r="E40" i="2"/>
  <c r="D31" i="2"/>
  <c r="D32" i="2"/>
  <c r="D33" i="2"/>
  <c r="D34" i="2"/>
  <c r="D35" i="2"/>
  <c r="D36" i="2"/>
  <c r="D37" i="2"/>
  <c r="D38" i="2"/>
  <c r="D39" i="2"/>
  <c r="D40" i="2"/>
  <c r="C31" i="2"/>
  <c r="C32" i="2"/>
  <c r="C33" i="2"/>
  <c r="C34" i="2"/>
  <c r="C35" i="2"/>
  <c r="C36" i="2"/>
  <c r="C37" i="2"/>
  <c r="C38" i="2"/>
  <c r="C39" i="2"/>
  <c r="C40" i="2"/>
  <c r="B31" i="2"/>
  <c r="B32" i="2"/>
  <c r="B33" i="2"/>
  <c r="B34" i="2"/>
  <c r="B35" i="2"/>
  <c r="B36" i="2"/>
  <c r="B37" i="2"/>
  <c r="B38" i="2"/>
  <c r="B39" i="2"/>
  <c r="B40" i="2"/>
  <c r="A31" i="2"/>
  <c r="A32" i="2"/>
  <c r="A33" i="2"/>
  <c r="A34" i="2"/>
  <c r="A35" i="2"/>
  <c r="A36" i="2"/>
  <c r="A37" i="2"/>
  <c r="A38" i="2"/>
  <c r="A39" i="2"/>
  <c r="A40" i="2"/>
  <c r="E26" i="2"/>
  <c r="F26" i="2"/>
  <c r="G26" i="2"/>
  <c r="M26" i="2"/>
  <c r="N26" i="2"/>
  <c r="O26" i="2"/>
  <c r="U26" i="2"/>
  <c r="V26" i="2"/>
  <c r="W26" i="2"/>
  <c r="AC26" i="2"/>
  <c r="AD26" i="2"/>
  <c r="AE26" i="2"/>
  <c r="AK26" i="2"/>
  <c r="AL26" i="2"/>
  <c r="AM26" i="2"/>
  <c r="AR26" i="2"/>
  <c r="AS26" i="2"/>
  <c r="AT26" i="2"/>
  <c r="AU26" i="2"/>
  <c r="BA26" i="2"/>
  <c r="BB26" i="2"/>
  <c r="BC26" i="2"/>
  <c r="BI26" i="2"/>
  <c r="BJ26" i="2"/>
  <c r="B6" i="2"/>
  <c r="C45" i="2" s="1"/>
  <c r="B5" i="2"/>
  <c r="L33" i="2" s="1"/>
  <c r="B46" i="2" s="1"/>
  <c r="B4" i="2"/>
  <c r="B3" i="2"/>
  <c r="B7" i="2" s="1"/>
  <c r="C25" i="2" s="1"/>
  <c r="L2" i="1"/>
  <c r="L3" i="1"/>
  <c r="L4" i="1"/>
  <c r="L5" i="1"/>
  <c r="L6" i="1"/>
  <c r="L7" i="1"/>
  <c r="L8" i="1"/>
  <c r="L9" i="1"/>
  <c r="L10" i="1"/>
  <c r="L11" i="1"/>
  <c r="C49" i="2" l="1"/>
  <c r="C48" i="2"/>
  <c r="C47" i="2"/>
  <c r="C46" i="2"/>
  <c r="B48" i="2"/>
  <c r="BE26" i="2"/>
  <c r="AW26" i="2"/>
  <c r="AO26" i="2"/>
  <c r="AG26" i="2"/>
  <c r="Y26" i="2"/>
  <c r="Q26" i="2"/>
  <c r="I26" i="2"/>
  <c r="L40" i="2"/>
  <c r="L32" i="2"/>
  <c r="BD26" i="2"/>
  <c r="AV26" i="2"/>
  <c r="AN26" i="2"/>
  <c r="AF26" i="2"/>
  <c r="X26" i="2"/>
  <c r="P26" i="2"/>
  <c r="H26" i="2"/>
  <c r="L39" i="2"/>
  <c r="B49" i="2" s="1"/>
  <c r="L31" i="2"/>
  <c r="B45" i="2" s="1"/>
  <c r="BH26" i="2"/>
  <c r="AJ26" i="2"/>
  <c r="T26" i="2"/>
  <c r="D26" i="2"/>
  <c r="BG26" i="2"/>
  <c r="AY26" i="2"/>
  <c r="AQ26" i="2"/>
  <c r="AI26" i="2"/>
  <c r="AA26" i="2"/>
  <c r="S26" i="2"/>
  <c r="K26" i="2"/>
  <c r="C26" i="2"/>
  <c r="L34" i="2"/>
  <c r="AZ26" i="2"/>
  <c r="AB26" i="2"/>
  <c r="L26" i="2"/>
  <c r="L35" i="2"/>
  <c r="B47" i="2" s="1"/>
  <c r="BF26" i="2"/>
  <c r="AX26" i="2"/>
  <c r="AP26" i="2"/>
  <c r="AH26" i="2"/>
  <c r="Z26" i="2"/>
  <c r="R26" i="2"/>
  <c r="J26" i="2"/>
  <c r="B26" i="2"/>
  <c r="H21" i="2"/>
  <c r="AS24" i="2"/>
  <c r="AC24" i="2"/>
  <c r="E24" i="2"/>
  <c r="Z25" i="2"/>
  <c r="AZ24" i="2"/>
  <c r="T24" i="2"/>
  <c r="D24" i="2"/>
  <c r="AO25" i="2"/>
  <c r="Y25" i="2"/>
  <c r="I25" i="2"/>
  <c r="AY24" i="2"/>
  <c r="C24" i="2"/>
  <c r="BF24" i="2"/>
  <c r="AP24" i="2"/>
  <c r="R24" i="2"/>
  <c r="BC25" i="2"/>
  <c r="AM25" i="2"/>
  <c r="G25" i="2"/>
  <c r="AO24" i="2"/>
  <c r="F25" i="2"/>
  <c r="BI24" i="2"/>
  <c r="AK24" i="2"/>
  <c r="M24" i="2"/>
  <c r="AX25" i="2"/>
  <c r="AH25" i="2"/>
  <c r="R25" i="2"/>
  <c r="B25" i="2"/>
  <c r="BH24" i="2"/>
  <c r="AJ24" i="2"/>
  <c r="BE25" i="2"/>
  <c r="BG24" i="2"/>
  <c r="AI24" i="2"/>
  <c r="S24" i="2"/>
  <c r="BD25" i="2"/>
  <c r="AN25" i="2"/>
  <c r="X25" i="2"/>
  <c r="P25" i="2"/>
  <c r="E21" i="2"/>
  <c r="AH24" i="2"/>
  <c r="J24" i="2"/>
  <c r="AU25" i="2"/>
  <c r="AE25" i="2"/>
  <c r="O25" i="2"/>
  <c r="D21" i="2"/>
  <c r="AW24" i="2"/>
  <c r="Y24" i="2"/>
  <c r="Q24" i="2"/>
  <c r="BJ25" i="2"/>
  <c r="AT25" i="2"/>
  <c r="V25" i="2"/>
  <c r="C21" i="2"/>
  <c r="BD24" i="2"/>
  <c r="AV24" i="2"/>
  <c r="AN24" i="2"/>
  <c r="AF24" i="2"/>
  <c r="X24" i="2"/>
  <c r="P24" i="2"/>
  <c r="H24" i="2"/>
  <c r="BI25" i="2"/>
  <c r="BA25" i="2"/>
  <c r="AS25" i="2"/>
  <c r="AK25" i="2"/>
  <c r="AC25" i="2"/>
  <c r="U25" i="2"/>
  <c r="M25" i="2"/>
  <c r="E25" i="2"/>
  <c r="J21" i="2"/>
  <c r="B21" i="2"/>
  <c r="BC24" i="2"/>
  <c r="AU24" i="2"/>
  <c r="AM24" i="2"/>
  <c r="AE24" i="2"/>
  <c r="W24" i="2"/>
  <c r="O24" i="2"/>
  <c r="G24" i="2"/>
  <c r="BH25" i="2"/>
  <c r="AZ25" i="2"/>
  <c r="AR25" i="2"/>
  <c r="AJ25" i="2"/>
  <c r="AB25" i="2"/>
  <c r="T25" i="2"/>
  <c r="L25" i="2"/>
  <c r="D25" i="2"/>
  <c r="BA24" i="2"/>
  <c r="U24" i="2"/>
  <c r="BF25" i="2"/>
  <c r="AP25" i="2"/>
  <c r="J25" i="2"/>
  <c r="G21" i="2"/>
  <c r="AR24" i="2"/>
  <c r="AB24" i="2"/>
  <c r="L24" i="2"/>
  <c r="AW25" i="2"/>
  <c r="AG25" i="2"/>
  <c r="Q25" i="2"/>
  <c r="F21" i="2"/>
  <c r="AQ24" i="2"/>
  <c r="AA24" i="2"/>
  <c r="K24" i="2"/>
  <c r="AV25" i="2"/>
  <c r="AF25" i="2"/>
  <c r="H25" i="2"/>
  <c r="AX24" i="2"/>
  <c r="Z24" i="2"/>
  <c r="B24" i="2"/>
  <c r="W25" i="2"/>
  <c r="BE24" i="2"/>
  <c r="AG24" i="2"/>
  <c r="I24" i="2"/>
  <c r="BB25" i="2"/>
  <c r="AL25" i="2"/>
  <c r="AD25" i="2"/>
  <c r="N25" i="2"/>
  <c r="I21" i="2"/>
  <c r="BJ24" i="2"/>
  <c r="BB24" i="2"/>
  <c r="AT24" i="2"/>
  <c r="AL24" i="2"/>
  <c r="AD24" i="2"/>
  <c r="V24" i="2"/>
  <c r="N24" i="2"/>
  <c r="F24" i="2"/>
  <c r="BG25" i="2"/>
  <c r="AY25" i="2"/>
  <c r="AQ25" i="2"/>
  <c r="AI25" i="2"/>
  <c r="AA25" i="2"/>
  <c r="S25" i="2"/>
  <c r="K25" i="2"/>
</calcChain>
</file>

<file path=xl/sharedStrings.xml><?xml version="1.0" encoding="utf-8"?>
<sst xmlns="http://schemas.openxmlformats.org/spreadsheetml/2006/main" count="88" uniqueCount="57">
  <si>
    <t>Batch</t>
  </si>
  <si>
    <t>Condition</t>
  </si>
  <si>
    <t>Key</t>
  </si>
  <si>
    <t>BN-2601</t>
  </si>
  <si>
    <t>25C/60%RH</t>
  </si>
  <si>
    <t>30C/65%RH</t>
  </si>
  <si>
    <t>BN-2602</t>
  </si>
  <si>
    <t>BN-2603</t>
  </si>
  <si>
    <t>BN-2604</t>
  </si>
  <si>
    <t>BN-2605</t>
  </si>
  <si>
    <t>Assay (% of label claim) by stability time point. SAMPLE / simulated data. Blank = not tested. Replace rows with your own results.</t>
  </si>
  <si>
    <t>Keep row 1 months as numbers. One row per batch + condition. Keep order and the 'Key' formula in column L.</t>
  </si>
  <si>
    <t>Calculation sheet - feeds the Dashboard (do not edit)</t>
  </si>
  <si>
    <t>Selected batch</t>
  </si>
  <si>
    <t>Selected condition</t>
  </si>
  <si>
    <t>Min spec (% LC)</t>
  </si>
  <si>
    <t>Proposed shelf life (months)</t>
  </si>
  <si>
    <t>Selected row in matrix</t>
  </si>
  <si>
    <t>Month (observed)</t>
  </si>
  <si>
    <t>Assay (observed)</t>
  </si>
  <si>
    <t>Month</t>
  </si>
  <si>
    <t>Regression (mean)</t>
  </si>
  <si>
    <t>Lower 95% confidence limit</t>
  </si>
  <si>
    <t>Min spec</t>
  </si>
  <si>
    <t>n</t>
  </si>
  <si>
    <t>Slope (%LC/mo)</t>
  </si>
  <si>
    <t>Intercept</t>
  </si>
  <si>
    <t>R-squared</t>
  </si>
  <si>
    <t>Std error</t>
  </si>
  <si>
    <t>Mean month</t>
  </si>
  <si>
    <t>Sxx</t>
  </si>
  <si>
    <t>t (95% 1-sided)</t>
  </si>
  <si>
    <t>Shelf life (mo, 95% LCL)</t>
  </si>
  <si>
    <t>Proposed shelf life</t>
  </si>
  <si>
    <t>STABILITY SHELF-LIFE PREDICTOR (SAMPLE DATA)</t>
  </si>
  <si>
    <t>Assay vs time | linear regression | one-sided 95% lower confidence limit | where does the line cross the minimum spec?</t>
  </si>
  <si>
    <t>BATCH</t>
  </si>
  <si>
    <t>CONDITION</t>
  </si>
  <si>
    <t>MIN SPEC (% LC)</t>
  </si>
  <si>
    <t>PROPOSED SHELF LIFE (MONTHS)</t>
  </si>
  <si>
    <t>Yellow cells are inputs: pick batch and condition, or change the spec and proposed shelf life.</t>
  </si>
  <si>
    <t>DEGRADATION RATE</t>
  </si>
  <si>
    <t>% label claim per month</t>
  </si>
  <si>
    <t>R-SQUARED</t>
  </si>
  <si>
    <t>fit of the straight line</t>
  </si>
  <si>
    <t>SHELF LIFE (95% LCL)</t>
  </si>
  <si>
    <t>months until limit crosses spec</t>
  </si>
  <si>
    <t>MARGIN vs PROPOSED</t>
  </si>
  <si>
    <t>months (shelf life - proposed)</t>
  </si>
  <si>
    <t>STATUS</t>
  </si>
  <si>
    <t>vs proposed shelf life</t>
  </si>
  <si>
    <t>SHELF-LIFE MATRIX (months, 95% lower confidence limit)  -  25C/60%RH colours: green meets proposed, amber within 6 months, red short</t>
  </si>
  <si>
    <t>25C/60%RH (months)</t>
  </si>
  <si>
    <t>30C/65%RH (months, for information only)</t>
  </si>
  <si>
    <t>Status (25C/60%RH)</t>
  </si>
  <si>
    <t>Sample dashboard built with made-up data for portfolio demonstration. Not client work.</t>
  </si>
  <si>
    <t>Illustrative regression only. Not a validated system and not a replacement for an ICH Q1E evaluation under an approved stability protocol. 60 months is the display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</si>
</sst>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 &quot;mo&quot;"/>
    <numFmt numFmtId="165" formatCode="0.000"/>
    <numFmt numFmtId="166" formatCode="\+0.000;\-0.000;0.000"/>
    <numFmt numFmtId="167" formatCode="[&gt;=60]&quot;60+&quot;;0"/>
    <numFmt numFmtId="168" formatCode="\+0;\-0;0"/>
    <numFmt numFmtId="169" formatCode="[&gt;=60]&quot;60+ mo&quot;;0&quot; mo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Calibri"/>
      <family val="2"/>
      <scheme val="minor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1E293B"/>
      <name val="Arial"/>
      <family val="2"/>
    </font>
    <font>
      <b/>
      <sz val="20"/>
      <color rgb="FFFFFFFF"/>
      <name val="Arial"/>
      <family val="2"/>
    </font>
    <font>
      <sz val="9"/>
      <color rgb="FF1E293B"/>
      <name val="Arial"/>
      <family val="2"/>
    </font>
    <font>
      <sz val="9"/>
      <color rgb="FF6E7887"/>
      <name val="Arial"/>
      <family val="2"/>
    </font>
    <font>
      <b/>
      <sz val="8"/>
      <color rgb="FF6E7887"/>
      <name val="Arial"/>
      <family val="2"/>
    </font>
    <font>
      <b/>
      <sz val="11"/>
      <color rgb="FF0000FF"/>
      <name val="Arial"/>
      <family val="2"/>
    </font>
    <font>
      <i/>
      <sz val="8"/>
      <color rgb="FF6E7887"/>
      <name val="Arial"/>
      <family val="2"/>
    </font>
    <font>
      <b/>
      <sz val="8"/>
      <color rgb="FFFFFFFF"/>
      <name val="Arial"/>
      <family val="2"/>
    </font>
    <font>
      <b/>
      <sz val="20"/>
      <color rgb="FF1F3A5F"/>
      <name val="Arial"/>
      <family val="2"/>
    </font>
    <font>
      <sz val="7"/>
      <color rgb="FF6E7887"/>
      <name val="Arial"/>
      <family val="2"/>
    </font>
    <font>
      <b/>
      <sz val="13"/>
      <color rgb="FF1F3A5F"/>
      <name val="Arial"/>
      <family val="2"/>
    </font>
    <font>
      <b/>
      <sz val="11"/>
      <color rgb="FF1F3A5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4F6F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F9D8F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E2EB"/>
      </left>
      <right style="thin">
        <color rgb="FFDCE2EB"/>
      </right>
      <top style="thin">
        <color rgb="FFDCE2EB"/>
      </top>
      <bottom style="thin">
        <color rgb="FFDCE2EB"/>
      </bottom>
      <diagonal/>
    </border>
    <border>
      <left/>
      <right/>
      <top style="thin">
        <color rgb="FFDCE2EB"/>
      </top>
      <bottom/>
      <diagonal/>
    </border>
    <border>
      <left/>
      <right/>
      <top style="thin">
        <color rgb="FFDCE2EB"/>
      </top>
      <bottom style="thin">
        <color rgb="FFDCE2E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2" borderId="0" xfId="0" applyFont="1" applyFill="1"/>
    <xf numFmtId="164" fontId="2" fillId="2" borderId="0" xfId="0" applyNumberFormat="1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5" fontId="1" fillId="0" borderId="0" xfId="0" applyNumberFormat="1" applyFont="1"/>
    <xf numFmtId="2" fontId="1" fillId="0" borderId="0" xfId="0" applyNumberFormat="1" applyFont="1"/>
    <xf numFmtId="0" fontId="6" fillId="3" borderId="0" xfId="0" applyFont="1" applyFill="1"/>
    <xf numFmtId="0" fontId="7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indent="1"/>
    </xf>
    <xf numFmtId="0" fontId="10" fillId="3" borderId="0" xfId="0" applyFont="1" applyFill="1" applyAlignment="1">
      <alignment horizontal="right" vertical="center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2" fillId="3" borderId="0" xfId="0" applyFont="1" applyFill="1"/>
    <xf numFmtId="0" fontId="13" fillId="5" borderId="1" xfId="0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2" fontId="14" fillId="6" borderId="1" xfId="0" applyNumberFormat="1" applyFont="1" applyFill="1" applyBorder="1" applyAlignment="1">
      <alignment horizontal="center" vertical="center"/>
    </xf>
    <xf numFmtId="167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0" fontId="17" fillId="3" borderId="0" xfId="0" applyFont="1" applyFill="1"/>
    <xf numFmtId="0" fontId="13" fillId="2" borderId="0" xfId="0" applyFont="1" applyFill="1" applyAlignment="1">
      <alignment horizontal="center"/>
    </xf>
    <xf numFmtId="0" fontId="8" fillId="6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center"/>
    </xf>
    <xf numFmtId="169" fontId="8" fillId="6" borderId="0" xfId="0" applyNumberFormat="1" applyFont="1" applyFill="1" applyBorder="1" applyAlignment="1">
      <alignment horizontal="center"/>
    </xf>
    <xf numFmtId="169" fontId="8" fillId="6" borderId="2" xfId="0" applyNumberFormat="1" applyFont="1" applyFill="1" applyBorder="1" applyAlignment="1">
      <alignment horizontal="center"/>
    </xf>
    <xf numFmtId="169" fontId="8" fillId="6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b/>
        <i val="0"/>
        <color rgb="FFD63E3E"/>
      </font>
    </dxf>
    <dxf>
      <font>
        <b/>
        <i val="0"/>
        <color rgb="FFF28C28"/>
      </font>
    </dxf>
    <dxf>
      <font>
        <b/>
        <i val="0"/>
        <color rgb="FF2EA064"/>
      </font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D63E3E"/>
      </font>
    </dxf>
    <dxf>
      <font>
        <color rgb="FFF28C28"/>
      </font>
    </dxf>
    <dxf>
      <font>
        <color rgb="FF2EA06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F3A5F"/>
                </a:solidFill>
              </a:defRPr>
            </a:pPr>
            <a:r>
              <a:rPr lang="en-IN"/>
              <a:t>Assay vs time with regression and 95% lower limit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Regression (mean)</c:v>
          </c:tx>
          <c:spPr>
            <a:ln>
              <a:solidFill>
                <a:srgbClr val="1F3A5F"/>
              </a:solidFill>
            </a:ln>
          </c:spPr>
          <c:marker>
            <c:symbol val="none"/>
          </c:marker>
          <c:xVal>
            <c:numRef>
              <c:f>Calc!$B$23:$BJ$23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Calc!$B$24:$BJ$24</c:f>
              <c:numCache>
                <c:formatCode>0.00</c:formatCode>
                <c:ptCount val="61"/>
                <c:pt idx="0">
                  <c:v>100.33317365269463</c:v>
                </c:pt>
                <c:pt idx="1">
                  <c:v>100.25800399201599</c:v>
                </c:pt>
                <c:pt idx="2">
                  <c:v>100.18283433133735</c:v>
                </c:pt>
                <c:pt idx="3">
                  <c:v>100.10766467065869</c:v>
                </c:pt>
                <c:pt idx="4">
                  <c:v>100.03249500998005</c:v>
                </c:pt>
                <c:pt idx="5">
                  <c:v>99.957325349301414</c:v>
                </c:pt>
                <c:pt idx="6">
                  <c:v>99.882155688622774</c:v>
                </c:pt>
                <c:pt idx="7">
                  <c:v>99.80698602794412</c:v>
                </c:pt>
                <c:pt idx="8">
                  <c:v>99.73181636726548</c:v>
                </c:pt>
                <c:pt idx="9">
                  <c:v>99.656646706586841</c:v>
                </c:pt>
                <c:pt idx="10">
                  <c:v>99.581477045908201</c:v>
                </c:pt>
                <c:pt idx="11">
                  <c:v>99.506307385229562</c:v>
                </c:pt>
                <c:pt idx="12">
                  <c:v>99.431137724550908</c:v>
                </c:pt>
                <c:pt idx="13">
                  <c:v>99.355968063872268</c:v>
                </c:pt>
                <c:pt idx="14">
                  <c:v>99.280798403193629</c:v>
                </c:pt>
                <c:pt idx="15">
                  <c:v>99.205628742514989</c:v>
                </c:pt>
                <c:pt idx="16">
                  <c:v>99.130459081836335</c:v>
                </c:pt>
                <c:pt idx="17">
                  <c:v>99.055289421157696</c:v>
                </c:pt>
                <c:pt idx="18">
                  <c:v>98.980119760479056</c:v>
                </c:pt>
                <c:pt idx="19">
                  <c:v>98.904950099800416</c:v>
                </c:pt>
                <c:pt idx="20">
                  <c:v>98.829780439121777</c:v>
                </c:pt>
                <c:pt idx="21">
                  <c:v>98.754610778443123</c:v>
                </c:pt>
                <c:pt idx="22">
                  <c:v>98.679441117764483</c:v>
                </c:pt>
                <c:pt idx="23">
                  <c:v>98.604271457085844</c:v>
                </c:pt>
                <c:pt idx="24">
                  <c:v>98.529101796407204</c:v>
                </c:pt>
                <c:pt idx="25">
                  <c:v>98.45393213572855</c:v>
                </c:pt>
                <c:pt idx="26">
                  <c:v>98.378762475049911</c:v>
                </c:pt>
                <c:pt idx="27">
                  <c:v>98.303592814371271</c:v>
                </c:pt>
                <c:pt idx="28">
                  <c:v>98.228423153692631</c:v>
                </c:pt>
                <c:pt idx="29">
                  <c:v>98.153253493013992</c:v>
                </c:pt>
                <c:pt idx="30">
                  <c:v>98.078083832335338</c:v>
                </c:pt>
                <c:pt idx="31">
                  <c:v>98.002914171656698</c:v>
                </c:pt>
                <c:pt idx="32">
                  <c:v>97.927744510978059</c:v>
                </c:pt>
                <c:pt idx="33">
                  <c:v>97.852574850299419</c:v>
                </c:pt>
                <c:pt idx="34">
                  <c:v>97.777405189620765</c:v>
                </c:pt>
                <c:pt idx="35">
                  <c:v>97.702235528942126</c:v>
                </c:pt>
                <c:pt idx="36">
                  <c:v>97.627065868263486</c:v>
                </c:pt>
                <c:pt idx="37">
                  <c:v>97.551896207584846</c:v>
                </c:pt>
                <c:pt idx="38">
                  <c:v>97.476726546906207</c:v>
                </c:pt>
                <c:pt idx="39">
                  <c:v>97.401556886227553</c:v>
                </c:pt>
                <c:pt idx="40">
                  <c:v>97.326387225548913</c:v>
                </c:pt>
                <c:pt idx="41">
                  <c:v>97.251217564870274</c:v>
                </c:pt>
                <c:pt idx="42">
                  <c:v>97.176047904191634</c:v>
                </c:pt>
                <c:pt idx="43">
                  <c:v>97.10087824351298</c:v>
                </c:pt>
                <c:pt idx="44">
                  <c:v>97.025708582834341</c:v>
                </c:pt>
                <c:pt idx="45">
                  <c:v>96.950538922155701</c:v>
                </c:pt>
                <c:pt idx="46">
                  <c:v>96.875369261477061</c:v>
                </c:pt>
                <c:pt idx="47">
                  <c:v>96.800199600798422</c:v>
                </c:pt>
                <c:pt idx="48">
                  <c:v>96.725029940119768</c:v>
                </c:pt>
                <c:pt idx="49">
                  <c:v>96.649860279441128</c:v>
                </c:pt>
                <c:pt idx="50">
                  <c:v>96.574690618762489</c:v>
                </c:pt>
                <c:pt idx="51">
                  <c:v>96.499520958083849</c:v>
                </c:pt>
                <c:pt idx="52">
                  <c:v>96.424351297405195</c:v>
                </c:pt>
                <c:pt idx="53">
                  <c:v>96.349181636726556</c:v>
                </c:pt>
                <c:pt idx="54">
                  <c:v>96.274011976047916</c:v>
                </c:pt>
                <c:pt idx="55">
                  <c:v>96.198842315369276</c:v>
                </c:pt>
                <c:pt idx="56">
                  <c:v>96.123672654690637</c:v>
                </c:pt>
                <c:pt idx="57">
                  <c:v>96.048502994011983</c:v>
                </c:pt>
                <c:pt idx="58">
                  <c:v>95.973333333333343</c:v>
                </c:pt>
                <c:pt idx="59">
                  <c:v>95.898163672654704</c:v>
                </c:pt>
                <c:pt idx="60">
                  <c:v>95.822994011976064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A7-41E1-A6F4-7D0FF55F208E}"/>
            </c:ext>
          </c:extLst>
        </c:ser>
        <c:ser>
          <c:idx val="1"/>
          <c:order val="1"/>
          <c:tx>
            <c:v>Lower 95% limit</c:v>
          </c:tx>
          <c:spPr>
            <a:ln>
              <a:solidFill>
                <a:srgbClr val="F28C28"/>
              </a:solidFill>
            </a:ln>
          </c:spPr>
          <c:marker>
            <c:symbol val="none"/>
          </c:marker>
          <c:xVal>
            <c:numRef>
              <c:f>Calc!$B$23:$BJ$23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Calc!$B$25:$BJ$25</c:f>
              <c:numCache>
                <c:formatCode>0.00</c:formatCode>
                <c:ptCount val="61"/>
                <c:pt idx="0">
                  <c:v>100.06606548782665</c:v>
                </c:pt>
                <c:pt idx="1">
                  <c:v>100.00702094153345</c:v>
                </c:pt>
                <c:pt idx="2">
                  <c:v>99.947267072205506</c:v>
                </c:pt>
                <c:pt idx="3">
                  <c:v>99.886655400320862</c:v>
                </c:pt>
                <c:pt idx="4">
                  <c:v>99.825005290642864</c:v>
                </c:pt>
                <c:pt idx="5">
                  <c:v>99.762100884284877</c:v>
                </c:pt>
                <c:pt idx="6">
                  <c:v>99.697691811653982</c:v>
                </c:pt>
                <c:pt idx="7">
                  <c:v>99.631501059565849</c:v>
                </c:pt>
                <c:pt idx="8">
                  <c:v>99.563243687385011</c:v>
                </c:pt>
                <c:pt idx="9">
                  <c:v>99.492658155972947</c:v>
                </c:pt>
                <c:pt idx="10">
                  <c:v>99.419546619126194</c:v>
                </c:pt>
                <c:pt idx="11">
                  <c:v>99.343813066688384</c:v>
                </c:pt>
                <c:pt idx="12">
                  <c:v>99.26548427287085</c:v>
                </c:pt>
                <c:pt idx="13">
                  <c:v>99.184703792630799</c:v>
                </c:pt>
                <c:pt idx="14">
                  <c:v>99.101701900689477</c:v>
                </c:pt>
                <c:pt idx="15">
                  <c:v>99.016754747826539</c:v>
                </c:pt>
                <c:pt idx="16">
                  <c:v>98.930146983886857</c:v>
                </c:pt>
                <c:pt idx="17">
                  <c:v>98.842145785655092</c:v>
                </c:pt>
                <c:pt idx="18">
                  <c:v>98.752987190862527</c:v>
                </c:pt>
                <c:pt idx="19">
                  <c:v>98.662871763179908</c:v>
                </c:pt>
                <c:pt idx="20">
                  <c:v>98.571965854591937</c:v>
                </c:pt>
                <c:pt idx="21">
                  <c:v>98.4804055250532</c:v>
                </c:pt>
                <c:pt idx="22">
                  <c:v>98.388301281891799</c:v>
                </c:pt>
                <c:pt idx="23">
                  <c:v>98.29574267539391</c:v>
                </c:pt>
                <c:pt idx="24">
                  <c:v>98.202802338412496</c:v>
                </c:pt>
                <c:pt idx="25">
                  <c:v>98.109539357787469</c:v>
                </c:pt>
                <c:pt idx="26">
                  <c:v>98.016002007574045</c:v>
                </c:pt>
                <c:pt idx="27">
                  <c:v>97.922229929334421</c:v>
                </c:pt>
                <c:pt idx="28">
                  <c:v>97.828255856854227</c:v>
                </c:pt>
                <c:pt idx="29">
                  <c:v>97.734106975803968</c:v>
                </c:pt>
                <c:pt idx="30">
                  <c:v>97.639805995370466</c:v>
                </c:pt>
                <c:pt idx="31">
                  <c:v>97.545371994458861</c:v>
                </c:pt>
                <c:pt idx="32">
                  <c:v>97.450821092062341</c:v>
                </c:pt>
                <c:pt idx="33">
                  <c:v>97.356166980538504</c:v>
                </c:pt>
                <c:pt idx="34">
                  <c:v>97.261421351825547</c:v>
                </c:pt>
                <c:pt idx="35">
                  <c:v>97.166594239807125</c:v>
                </c:pt>
                <c:pt idx="36">
                  <c:v>97.071694296753464</c:v>
                </c:pt>
                <c:pt idx="37">
                  <c:v>96.976729017707129</c:v>
                </c:pt>
                <c:pt idx="38">
                  <c:v>96.881704923570439</c:v>
                </c:pt>
                <c:pt idx="39">
                  <c:v>96.786627711267172</c:v>
                </c:pt>
                <c:pt idx="40">
                  <c:v>96.691502377523108</c:v>
                </c:pt>
                <c:pt idx="41">
                  <c:v>96.596333321401971</c:v>
                </c:pt>
                <c:pt idx="42">
                  <c:v>96.501124429649252</c:v>
                </c:pt>
                <c:pt idx="43">
                  <c:v>96.405879148054098</c:v>
                </c:pt>
                <c:pt idx="44">
                  <c:v>96.31060054138608</c:v>
                </c:pt>
                <c:pt idx="45">
                  <c:v>96.215291343952103</c:v>
                </c:pt>
                <c:pt idx="46">
                  <c:v>96.119954002417813</c:v>
                </c:pt>
                <c:pt idx="47">
                  <c:v>96.024590712221297</c:v>
                </c:pt>
                <c:pt idx="48">
                  <c:v>95.929203448656239</c:v>
                </c:pt>
                <c:pt idx="49">
                  <c:v>95.833793993502638</c:v>
                </c:pt>
                <c:pt idx="50">
                  <c:v>95.738363957923127</c:v>
                </c:pt>
                <c:pt idx="51">
                  <c:v>95.642914802215813</c:v>
                </c:pt>
                <c:pt idx="52">
                  <c:v>95.547447852910707</c:v>
                </c:pt>
                <c:pt idx="53">
                  <c:v>95.451964317613402</c:v>
                </c:pt>
                <c:pt idx="54">
                  <c:v>95.356465297931834</c:v>
                </c:pt>
                <c:pt idx="55">
                  <c:v>95.26095180076635</c:v>
                </c:pt>
                <c:pt idx="56">
                  <c:v>95.165424748198049</c:v>
                </c:pt>
                <c:pt idx="57">
                  <c:v>95.069884986172511</c:v>
                </c:pt>
                <c:pt idx="58">
                  <c:v>94.974333292145673</c:v>
                </c:pt>
                <c:pt idx="59">
                  <c:v>94.878770381832538</c:v>
                </c:pt>
                <c:pt idx="60">
                  <c:v>94.783196915178564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A7-41E1-A6F4-7D0FF55F208E}"/>
            </c:ext>
          </c:extLst>
        </c:ser>
        <c:ser>
          <c:idx val="2"/>
          <c:order val="2"/>
          <c:tx>
            <c:v>Min spec</c:v>
          </c:tx>
          <c:spPr>
            <a:ln>
              <a:solidFill>
                <a:srgbClr val="D63E3E"/>
              </a:solidFill>
              <a:prstDash val="dash"/>
            </a:ln>
          </c:spPr>
          <c:marker>
            <c:symbol val="none"/>
          </c:marker>
          <c:xVal>
            <c:numRef>
              <c:f>Calc!$B$23:$BJ$23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Calc!$B$26:$BJ$26</c:f>
              <c:numCache>
                <c:formatCode>0.00</c:formatCode>
                <c:ptCount val="61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  <c:pt idx="25">
                  <c:v>95</c:v>
                </c:pt>
                <c:pt idx="26">
                  <c:v>95</c:v>
                </c:pt>
                <c:pt idx="27">
                  <c:v>95</c:v>
                </c:pt>
                <c:pt idx="28">
                  <c:v>95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95</c:v>
                </c:pt>
                <c:pt idx="48">
                  <c:v>95</c:v>
                </c:pt>
                <c:pt idx="49">
                  <c:v>95</c:v>
                </c:pt>
                <c:pt idx="50">
                  <c:v>95</c:v>
                </c:pt>
                <c:pt idx="51">
                  <c:v>95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  <c:pt idx="55">
                  <c:v>95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95</c:v>
                </c:pt>
                <c:pt idx="60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A7-41E1-A6F4-7D0FF55F208E}"/>
            </c:ext>
          </c:extLst>
        </c:ser>
        <c:ser>
          <c:idx val="3"/>
          <c:order val="3"/>
          <c:tx>
            <c:v>Observed assay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0F9D8F"/>
              </a:solidFill>
              <a:ln>
                <a:solidFill>
                  <a:srgbClr val="0F9D8F"/>
                </a:solidFill>
                <a:prstDash val="solid"/>
              </a:ln>
            </c:spPr>
          </c:marker>
          <c:xVal>
            <c:numRef>
              <c:f>Calc!$B$20:$J$20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18</c:v>
                </c:pt>
                <c:pt idx="8">
                  <c:v>24</c:v>
                </c:pt>
              </c:numCache>
            </c:numRef>
          </c:xVal>
          <c:yVal>
            <c:numRef>
              <c:f>Calc!$B$21:$J$21</c:f>
              <c:numCache>
                <c:formatCode>General</c:formatCode>
                <c:ptCount val="9"/>
                <c:pt idx="0">
                  <c:v>100.45</c:v>
                </c:pt>
                <c:pt idx="1">
                  <c:v>#N/A</c:v>
                </c:pt>
                <c:pt idx="2">
                  <c:v>#N/A</c:v>
                </c:pt>
                <c:pt idx="3">
                  <c:v>100.24</c:v>
                </c:pt>
                <c:pt idx="4">
                  <c:v>99.86</c:v>
                </c:pt>
                <c:pt idx="5">
                  <c:v>99.3</c:v>
                </c:pt>
                <c:pt idx="6">
                  <c:v>99.52</c:v>
                </c:pt>
                <c:pt idx="7">
                  <c:v>98.83</c:v>
                </c:pt>
                <c:pt idx="8">
                  <c:v>98.72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A7-41E1-A6F4-7D0FF55F2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16639"/>
        <c:axId val="910881263"/>
      </c:scatterChart>
      <c:valAx>
        <c:axId val="1017116639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0881263"/>
        <c:crosses val="autoZero"/>
        <c:crossBetween val="midCat"/>
        <c:majorUnit val="6"/>
      </c:valAx>
      <c:valAx>
        <c:axId val="910881263"/>
        <c:scaling>
          <c:orientation val="minMax"/>
          <c:max val="102"/>
          <c:min val="85"/>
        </c:scaling>
        <c:delete val="0"/>
        <c:axPos val="l"/>
        <c:majorGridlines>
          <c:spPr>
            <a:ln>
              <a:solidFill>
                <a:srgbClr val="DCE2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Assay (% label claim)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017116639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DCE2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F3A5F"/>
                </a:solidFill>
              </a:defRPr>
            </a:pPr>
            <a:r>
              <a:rPr lang="en-IN"/>
              <a:t>Shelf life by batch vs proposed (selected condition)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Calc!$B$44</c:f>
              <c:strCache>
                <c:ptCount val="1"/>
                <c:pt idx="0">
                  <c:v>Shelf life (mo, 95% LCL)</c:v>
                </c:pt>
              </c:strCache>
            </c:strRef>
          </c:tx>
          <c:spPr>
            <a:solidFill>
              <a:srgbClr val="0F9D8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Calc!$A$45:$A$49</c:f>
              <c:strCache>
                <c:ptCount val="5"/>
                <c:pt idx="0">
                  <c:v>BN-2601</c:v>
                </c:pt>
                <c:pt idx="1">
                  <c:v>BN-2602</c:v>
                </c:pt>
                <c:pt idx="2">
                  <c:v>BN-2603</c:v>
                </c:pt>
                <c:pt idx="3">
                  <c:v>BN-2604</c:v>
                </c:pt>
                <c:pt idx="4">
                  <c:v>BN-2605</c:v>
                </c:pt>
              </c:strCache>
            </c:strRef>
          </c:cat>
          <c:val>
            <c:numRef>
              <c:f>Calc!$B$45:$B$49</c:f>
              <c:numCache>
                <c:formatCode>General</c:formatCode>
                <c:ptCount val="5"/>
                <c:pt idx="0">
                  <c:v>57</c:v>
                </c:pt>
                <c:pt idx="1">
                  <c:v>60</c:v>
                </c:pt>
                <c:pt idx="2">
                  <c:v>55</c:v>
                </c:pt>
                <c:pt idx="3">
                  <c:v>52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67-4CDD-BE4B-2E030215C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720623"/>
        <c:axId val="910891343"/>
      </c:barChart>
      <c:lineChart>
        <c:grouping val="standard"/>
        <c:varyColors val="0"/>
        <c:ser>
          <c:idx val="1"/>
          <c:order val="1"/>
          <c:tx>
            <c:strRef>
              <c:f>Calc!$C$44</c:f>
              <c:strCache>
                <c:ptCount val="1"/>
                <c:pt idx="0">
                  <c:v>Proposed shelf life</c:v>
                </c:pt>
              </c:strCache>
            </c:strRef>
          </c:tx>
          <c:spPr>
            <a:ln>
              <a:solidFill>
                <a:srgbClr val="D63E3E"/>
              </a:solidFill>
            </a:ln>
          </c:spPr>
          <c:marker>
            <c:symbol val="none"/>
          </c:marker>
          <c:cat>
            <c:strRef>
              <c:f>Calc!$A$45:$A$49</c:f>
              <c:strCache>
                <c:ptCount val="5"/>
                <c:pt idx="0">
                  <c:v>BN-2601</c:v>
                </c:pt>
                <c:pt idx="1">
                  <c:v>BN-2602</c:v>
                </c:pt>
                <c:pt idx="2">
                  <c:v>BN-2603</c:v>
                </c:pt>
                <c:pt idx="3">
                  <c:v>BN-2604</c:v>
                </c:pt>
                <c:pt idx="4">
                  <c:v>BN-2605</c:v>
                </c:pt>
              </c:strCache>
            </c:strRef>
          </c:cat>
          <c:val>
            <c:numRef>
              <c:f>Calc!$C$45:$C$49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67-4CDD-BE4B-2E030215C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720623"/>
        <c:axId val="910891343"/>
      </c:lineChart>
      <c:catAx>
        <c:axId val="1012720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0891343"/>
        <c:crosses val="autoZero"/>
        <c:auto val="1"/>
        <c:lblAlgn val="ctr"/>
        <c:lblOffset val="100"/>
        <c:noMultiLvlLbl val="0"/>
      </c:catAx>
      <c:valAx>
        <c:axId val="910891343"/>
        <c:scaling>
          <c:orientation val="minMax"/>
        </c:scaling>
        <c:delete val="0"/>
        <c:axPos val="l"/>
        <c:majorGridlines>
          <c:spPr>
            <a:ln>
              <a:solidFill>
                <a:srgbClr val="DCE2EB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012720623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DCE2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15</xdr:col>
      <xdr:colOff>368300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21990-6D16-9BA0-1963-E2EA2323E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9</xdr:row>
      <xdr:rowOff>0</xdr:rowOff>
    </xdr:from>
    <xdr:to>
      <xdr:col>26</xdr:col>
      <xdr:colOff>0</xdr:colOff>
      <xdr:row>27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6377EB-0BFF-BEBA-73EC-B444B7122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F942-D9BD-487C-AAE6-5D1816D8A24A}">
  <sheetPr>
    <tabColor rgb="FF0F9D8F"/>
  </sheetPr>
  <dimension ref="A1:AB45"/>
  <sheetViews>
    <sheetView showGridLines="0" tabSelected="1" workbookViewId="0">
      <selection activeCell="D4" sqref="D4:F4"/>
    </sheetView>
  </sheetViews>
  <sheetFormatPr defaultRowHeight="14" x14ac:dyDescent="0.3"/>
  <cols>
    <col min="1" max="1" width="2.6328125" style="1" customWidth="1"/>
    <col min="2" max="26" width="6" style="1" customWidth="1"/>
    <col min="27" max="27" width="2.6328125" style="1" customWidth="1"/>
    <col min="28" max="16384" width="8.7265625" style="1"/>
  </cols>
  <sheetData>
    <row r="1" spans="1:28" ht="40" customHeight="1" x14ac:dyDescent="0.3">
      <c r="A1" s="10"/>
      <c r="B1" s="11" t="s">
        <v>34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0"/>
      <c r="AB1" s="10"/>
    </row>
    <row r="2" spans="1:28" x14ac:dyDescent="0.3">
      <c r="A2" s="10"/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0"/>
      <c r="AB2" s="10"/>
    </row>
    <row r="3" spans="1:28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24" customHeight="1" x14ac:dyDescent="0.3">
      <c r="A4" s="10"/>
      <c r="B4" s="13" t="s">
        <v>36</v>
      </c>
      <c r="C4" s="13"/>
      <c r="D4" s="15" t="s">
        <v>3</v>
      </c>
      <c r="E4" s="15"/>
      <c r="F4" s="15"/>
      <c r="G4" s="10"/>
      <c r="H4" s="13" t="s">
        <v>37</v>
      </c>
      <c r="I4" s="13"/>
      <c r="J4" s="15" t="s">
        <v>4</v>
      </c>
      <c r="K4" s="15"/>
      <c r="L4" s="15"/>
      <c r="M4" s="15"/>
      <c r="N4" s="13" t="s">
        <v>38</v>
      </c>
      <c r="O4" s="13"/>
      <c r="P4" s="13"/>
      <c r="Q4" s="13"/>
      <c r="R4" s="16">
        <v>95</v>
      </c>
      <c r="S4" s="13" t="s">
        <v>39</v>
      </c>
      <c r="T4" s="13"/>
      <c r="U4" s="13"/>
      <c r="V4" s="13"/>
      <c r="W4" s="13"/>
      <c r="X4" s="13"/>
      <c r="Y4" s="14">
        <v>36</v>
      </c>
      <c r="Z4" s="17"/>
      <c r="AA4" s="10"/>
      <c r="AB4" s="10"/>
    </row>
    <row r="5" spans="1:28" x14ac:dyDescent="0.3">
      <c r="A5" s="10"/>
      <c r="B5" s="18" t="s">
        <v>40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8" customHeight="1" x14ac:dyDescent="0.3">
      <c r="A6" s="10"/>
      <c r="B6" s="19" t="s">
        <v>41</v>
      </c>
      <c r="C6" s="19"/>
      <c r="D6" s="19"/>
      <c r="E6" s="19"/>
      <c r="F6" s="19"/>
      <c r="G6" s="19" t="s">
        <v>43</v>
      </c>
      <c r="H6" s="19"/>
      <c r="I6" s="19"/>
      <c r="J6" s="19"/>
      <c r="K6" s="19"/>
      <c r="L6" s="19" t="s">
        <v>45</v>
      </c>
      <c r="M6" s="19"/>
      <c r="N6" s="19"/>
      <c r="O6" s="19"/>
      <c r="P6" s="19"/>
      <c r="Q6" s="19" t="s">
        <v>47</v>
      </c>
      <c r="R6" s="19"/>
      <c r="S6" s="19"/>
      <c r="T6" s="19"/>
      <c r="U6" s="19"/>
      <c r="V6" s="19" t="s">
        <v>49</v>
      </c>
      <c r="W6" s="19"/>
      <c r="X6" s="19"/>
      <c r="Y6" s="19"/>
      <c r="Z6" s="19"/>
      <c r="AA6" s="10"/>
      <c r="AB6" s="10"/>
    </row>
    <row r="7" spans="1:28" ht="40" customHeight="1" x14ac:dyDescent="0.3">
      <c r="A7" s="10"/>
      <c r="B7" s="20">
        <f>INDEX(Calc!$E$31:$E$40,Calc!$B$7)</f>
        <v>-7.5169660678642766E-2</v>
      </c>
      <c r="C7" s="20"/>
      <c r="D7" s="20"/>
      <c r="E7" s="20"/>
      <c r="F7" s="20"/>
      <c r="G7" s="22">
        <f>INDEX(Calc!$G$31:$G$40,Calc!$B$7)</f>
        <v>0.91489203178741652</v>
      </c>
      <c r="H7" s="22"/>
      <c r="I7" s="22"/>
      <c r="J7" s="22"/>
      <c r="K7" s="22"/>
      <c r="L7" s="23">
        <f>INDEX(Calc!$L$31:$L$40,Calc!$B$7)</f>
        <v>57</v>
      </c>
      <c r="M7" s="23"/>
      <c r="N7" s="23"/>
      <c r="O7" s="23"/>
      <c r="P7" s="23"/>
      <c r="Q7" s="24">
        <f>INDEX(Calc!$L$31:$L$40,Calc!$B$7)-$Y$4</f>
        <v>21</v>
      </c>
      <c r="R7" s="24"/>
      <c r="S7" s="24"/>
      <c r="T7" s="24"/>
      <c r="U7" s="24"/>
      <c r="V7" s="25" t="str">
        <f>IF(INDEX(Calc!$L$31:$L$40,Calc!$B$7)&gt;=$Y$4,"SUPPORTED",IF(INDEX(Calc!$L$31:$L$40,Calc!$B$7)&gt;=$Y$4-6,"REVIEW","NOT SUPPORTED"))</f>
        <v>SUPPORTED</v>
      </c>
      <c r="W7" s="25"/>
      <c r="X7" s="25"/>
      <c r="Y7" s="25"/>
      <c r="Z7" s="25"/>
      <c r="AA7" s="10"/>
      <c r="AB7" s="10"/>
    </row>
    <row r="8" spans="1:28" ht="14" customHeight="1" x14ac:dyDescent="0.3">
      <c r="A8" s="10"/>
      <c r="B8" s="21" t="s">
        <v>42</v>
      </c>
      <c r="C8" s="21"/>
      <c r="D8" s="21"/>
      <c r="E8" s="21"/>
      <c r="F8" s="21"/>
      <c r="G8" s="21" t="s">
        <v>44</v>
      </c>
      <c r="H8" s="21"/>
      <c r="I8" s="21"/>
      <c r="J8" s="21"/>
      <c r="K8" s="21"/>
      <c r="L8" s="21" t="s">
        <v>46</v>
      </c>
      <c r="M8" s="21"/>
      <c r="N8" s="21"/>
      <c r="O8" s="21"/>
      <c r="P8" s="21"/>
      <c r="Q8" s="21" t="s">
        <v>48</v>
      </c>
      <c r="R8" s="21"/>
      <c r="S8" s="21"/>
      <c r="T8" s="21"/>
      <c r="U8" s="21"/>
      <c r="V8" s="21" t="s">
        <v>50</v>
      </c>
      <c r="W8" s="21"/>
      <c r="X8" s="21"/>
      <c r="Y8" s="21"/>
      <c r="Z8" s="21"/>
      <c r="AA8" s="10"/>
      <c r="AB8" s="10"/>
    </row>
    <row r="9" spans="1:28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x14ac:dyDescent="0.3">
      <c r="A29" s="10"/>
      <c r="B29" s="26" t="s">
        <v>51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x14ac:dyDescent="0.3">
      <c r="A30" s="10"/>
      <c r="B30" s="27" t="s">
        <v>0</v>
      </c>
      <c r="C30" s="27"/>
      <c r="D30" s="27"/>
      <c r="E30" s="27"/>
      <c r="F30" s="27" t="s">
        <v>52</v>
      </c>
      <c r="G30" s="27"/>
      <c r="H30" s="27"/>
      <c r="I30" s="27"/>
      <c r="J30" s="27"/>
      <c r="K30" s="27"/>
      <c r="L30" s="27"/>
      <c r="M30" s="27" t="s">
        <v>53</v>
      </c>
      <c r="N30" s="27"/>
      <c r="O30" s="27"/>
      <c r="P30" s="27"/>
      <c r="Q30" s="27"/>
      <c r="R30" s="27"/>
      <c r="S30" s="27"/>
      <c r="T30" s="27" t="s">
        <v>54</v>
      </c>
      <c r="U30" s="27"/>
      <c r="V30" s="27"/>
      <c r="W30" s="27"/>
      <c r="X30" s="27"/>
      <c r="Y30" s="27"/>
      <c r="Z30" s="27"/>
      <c r="AA30" s="10"/>
      <c r="AB30" s="10"/>
    </row>
    <row r="31" spans="1:28" x14ac:dyDescent="0.3">
      <c r="A31" s="10"/>
      <c r="B31" s="30" t="s">
        <v>3</v>
      </c>
      <c r="C31" s="30"/>
      <c r="D31" s="30"/>
      <c r="E31" s="30"/>
      <c r="F31" s="34">
        <f>INDEX(Calc!$L$31:$L$40,MATCH($B31&amp;"|25C/60%RH",Calc!$A$31:$A$40,0))</f>
        <v>57</v>
      </c>
      <c r="G31" s="34"/>
      <c r="H31" s="34"/>
      <c r="I31" s="34"/>
      <c r="J31" s="34"/>
      <c r="K31" s="34"/>
      <c r="L31" s="34"/>
      <c r="M31" s="34">
        <f>INDEX(Calc!$L$31:$L$40,MATCH($B31&amp;"|30C/65%RH",Calc!$A$31:$A$40,0))</f>
        <v>36</v>
      </c>
      <c r="N31" s="34"/>
      <c r="O31" s="34"/>
      <c r="P31" s="34"/>
      <c r="Q31" s="34"/>
      <c r="R31" s="34"/>
      <c r="S31" s="34"/>
      <c r="T31" s="31" t="str">
        <f>IF(F31&gt;=$Y$4,"SUPPORTED",IF(F31&gt;=$Y$4-6,"REVIEW","NOT SUPPORTED"))</f>
        <v>SUPPORTED</v>
      </c>
      <c r="U31" s="31"/>
      <c r="V31" s="31"/>
      <c r="W31" s="31"/>
      <c r="X31" s="31"/>
      <c r="Y31" s="31"/>
      <c r="Z31" s="31"/>
      <c r="AA31" s="10"/>
      <c r="AB31" s="10"/>
    </row>
    <row r="32" spans="1:28" x14ac:dyDescent="0.3">
      <c r="A32" s="10"/>
      <c r="B32" s="28" t="s">
        <v>6</v>
      </c>
      <c r="C32" s="28"/>
      <c r="D32" s="28"/>
      <c r="E32" s="28"/>
      <c r="F32" s="35">
        <f>INDEX(Calc!$L$31:$L$40,MATCH($B32&amp;"|25C/60%RH",Calc!$A$31:$A$40,0))</f>
        <v>60</v>
      </c>
      <c r="G32" s="35"/>
      <c r="H32" s="35"/>
      <c r="I32" s="35"/>
      <c r="J32" s="35"/>
      <c r="K32" s="35"/>
      <c r="L32" s="35"/>
      <c r="M32" s="35">
        <f>INDEX(Calc!$L$31:$L$40,MATCH($B32&amp;"|30C/65%RH",Calc!$A$31:$A$40,0))</f>
        <v>46</v>
      </c>
      <c r="N32" s="35"/>
      <c r="O32" s="35"/>
      <c r="P32" s="35"/>
      <c r="Q32" s="35"/>
      <c r="R32" s="35"/>
      <c r="S32" s="35"/>
      <c r="T32" s="29" t="str">
        <f>IF(F32&gt;=$Y$4,"SUPPORTED",IF(F32&gt;=$Y$4-6,"REVIEW","NOT SUPPORTED"))</f>
        <v>SUPPORTED</v>
      </c>
      <c r="U32" s="29"/>
      <c r="V32" s="29"/>
      <c r="W32" s="29"/>
      <c r="X32" s="29"/>
      <c r="Y32" s="29"/>
      <c r="Z32" s="29"/>
      <c r="AA32" s="10"/>
      <c r="AB32" s="10"/>
    </row>
    <row r="33" spans="1:28" x14ac:dyDescent="0.3">
      <c r="A33" s="10"/>
      <c r="B33" s="28" t="s">
        <v>7</v>
      </c>
      <c r="C33" s="28"/>
      <c r="D33" s="28"/>
      <c r="E33" s="28"/>
      <c r="F33" s="35">
        <f>INDEX(Calc!$L$31:$L$40,MATCH($B33&amp;"|25C/60%RH",Calc!$A$31:$A$40,0))</f>
        <v>55</v>
      </c>
      <c r="G33" s="35"/>
      <c r="H33" s="35"/>
      <c r="I33" s="35"/>
      <c r="J33" s="35"/>
      <c r="K33" s="35"/>
      <c r="L33" s="35"/>
      <c r="M33" s="35">
        <f>INDEX(Calc!$L$31:$L$40,MATCH($B33&amp;"|30C/65%RH",Calc!$A$31:$A$40,0))</f>
        <v>25</v>
      </c>
      <c r="N33" s="35"/>
      <c r="O33" s="35"/>
      <c r="P33" s="35"/>
      <c r="Q33" s="35"/>
      <c r="R33" s="35"/>
      <c r="S33" s="35"/>
      <c r="T33" s="29" t="str">
        <f>IF(F33&gt;=$Y$4,"SUPPORTED",IF(F33&gt;=$Y$4-6,"REVIEW","NOT SUPPORTED"))</f>
        <v>SUPPORTED</v>
      </c>
      <c r="U33" s="29"/>
      <c r="V33" s="29"/>
      <c r="W33" s="29"/>
      <c r="X33" s="29"/>
      <c r="Y33" s="29"/>
      <c r="Z33" s="29"/>
      <c r="AA33" s="10"/>
      <c r="AB33" s="10"/>
    </row>
    <row r="34" spans="1:28" x14ac:dyDescent="0.3">
      <c r="A34" s="10"/>
      <c r="B34" s="28" t="s">
        <v>8</v>
      </c>
      <c r="C34" s="28"/>
      <c r="D34" s="28"/>
      <c r="E34" s="28"/>
      <c r="F34" s="35">
        <f>INDEX(Calc!$L$31:$L$40,MATCH($B34&amp;"|25C/60%RH",Calc!$A$31:$A$40,0))</f>
        <v>52</v>
      </c>
      <c r="G34" s="35"/>
      <c r="H34" s="35"/>
      <c r="I34" s="35"/>
      <c r="J34" s="35"/>
      <c r="K34" s="35"/>
      <c r="L34" s="35"/>
      <c r="M34" s="35">
        <f>INDEX(Calc!$L$31:$L$40,MATCH($B34&amp;"|30C/65%RH",Calc!$A$31:$A$40,0))</f>
        <v>18</v>
      </c>
      <c r="N34" s="35"/>
      <c r="O34" s="35"/>
      <c r="P34" s="35"/>
      <c r="Q34" s="35"/>
      <c r="R34" s="35"/>
      <c r="S34" s="35"/>
      <c r="T34" s="29" t="str">
        <f>IF(F34&gt;=$Y$4,"SUPPORTED",IF(F34&gt;=$Y$4-6,"REVIEW","NOT SUPPORTED"))</f>
        <v>SUPPORTED</v>
      </c>
      <c r="U34" s="29"/>
      <c r="V34" s="29"/>
      <c r="W34" s="29"/>
      <c r="X34" s="29"/>
      <c r="Y34" s="29"/>
      <c r="Z34" s="29"/>
      <c r="AA34" s="10"/>
      <c r="AB34" s="10"/>
    </row>
    <row r="35" spans="1:28" x14ac:dyDescent="0.3">
      <c r="A35" s="10"/>
      <c r="B35" s="32" t="s">
        <v>9</v>
      </c>
      <c r="C35" s="32"/>
      <c r="D35" s="32"/>
      <c r="E35" s="32"/>
      <c r="F35" s="36">
        <f>INDEX(Calc!$L$31:$L$40,MATCH($B35&amp;"|25C/60%RH",Calc!$A$31:$A$40,0))</f>
        <v>32</v>
      </c>
      <c r="G35" s="36"/>
      <c r="H35" s="36"/>
      <c r="I35" s="36"/>
      <c r="J35" s="36"/>
      <c r="K35" s="36"/>
      <c r="L35" s="36"/>
      <c r="M35" s="36">
        <f>INDEX(Calc!$L$31:$L$40,MATCH($B35&amp;"|30C/65%RH",Calc!$A$31:$A$40,0))</f>
        <v>15</v>
      </c>
      <c r="N35" s="36"/>
      <c r="O35" s="36"/>
      <c r="P35" s="36"/>
      <c r="Q35" s="36"/>
      <c r="R35" s="36"/>
      <c r="S35" s="36"/>
      <c r="T35" s="33" t="str">
        <f>IF(F35&gt;=$Y$4,"SUPPORTED",IF(F35&gt;=$Y$4-6,"REVIEW","NOT SUPPORTED"))</f>
        <v>REVIEW</v>
      </c>
      <c r="U35" s="33"/>
      <c r="V35" s="33"/>
      <c r="W35" s="33"/>
      <c r="X35" s="33"/>
      <c r="Y35" s="33"/>
      <c r="Z35" s="33"/>
      <c r="AA35" s="10"/>
      <c r="AB35" s="10"/>
    </row>
    <row r="36" spans="1:28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x14ac:dyDescent="0.3">
      <c r="A37" s="10"/>
      <c r="B37" s="18" t="s">
        <v>55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x14ac:dyDescent="0.3">
      <c r="A38" s="10"/>
      <c r="B38" s="18" t="s">
        <v>56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</sheetData>
  <mergeCells count="48">
    <mergeCell ref="B35:E35"/>
    <mergeCell ref="F35:L35"/>
    <mergeCell ref="M35:S35"/>
    <mergeCell ref="T35:Z35"/>
    <mergeCell ref="B33:E33"/>
    <mergeCell ref="F33:L33"/>
    <mergeCell ref="M33:S33"/>
    <mergeCell ref="T33:Z33"/>
    <mergeCell ref="B34:E34"/>
    <mergeCell ref="F34:L34"/>
    <mergeCell ref="M34:S34"/>
    <mergeCell ref="T34:Z34"/>
    <mergeCell ref="B31:E31"/>
    <mergeCell ref="F31:L31"/>
    <mergeCell ref="M31:S31"/>
    <mergeCell ref="T31:Z31"/>
    <mergeCell ref="B32:E32"/>
    <mergeCell ref="F32:L32"/>
    <mergeCell ref="M32:S32"/>
    <mergeCell ref="T32:Z32"/>
    <mergeCell ref="V6:Z6"/>
    <mergeCell ref="V7:Z7"/>
    <mergeCell ref="V8:Z8"/>
    <mergeCell ref="B30:E30"/>
    <mergeCell ref="F30:L30"/>
    <mergeCell ref="M30:S30"/>
    <mergeCell ref="T30:Z30"/>
    <mergeCell ref="L6:P6"/>
    <mergeCell ref="L7:P7"/>
    <mergeCell ref="L8:P8"/>
    <mergeCell ref="Q6:U6"/>
    <mergeCell ref="Q7:U7"/>
    <mergeCell ref="Q8:U8"/>
    <mergeCell ref="B6:F6"/>
    <mergeCell ref="B7:F7"/>
    <mergeCell ref="B8:F8"/>
    <mergeCell ref="G6:K6"/>
    <mergeCell ref="G7:K7"/>
    <mergeCell ref="G8:K8"/>
    <mergeCell ref="B1:Z1"/>
    <mergeCell ref="B2:Z2"/>
    <mergeCell ref="B4:C4"/>
    <mergeCell ref="D4:F4"/>
    <mergeCell ref="H4:I4"/>
    <mergeCell ref="J4:M4"/>
    <mergeCell ref="N4:Q4"/>
    <mergeCell ref="S4:X4"/>
    <mergeCell ref="Y4:Z4"/>
  </mergeCells>
  <conditionalFormatting sqref="V7:Z7">
    <cfRule type="expression" dxfId="8" priority="1" stopIfTrue="1">
      <formula>$V$7="SUPPORTED"</formula>
    </cfRule>
    <cfRule type="expression" dxfId="7" priority="2" stopIfTrue="1">
      <formula>$V$7="REVIEW"</formula>
    </cfRule>
    <cfRule type="expression" dxfId="6" priority="3" stopIfTrue="1">
      <formula>$V$7="NOT SUPPORTED"</formula>
    </cfRule>
  </conditionalFormatting>
  <conditionalFormatting sqref="F31:L35">
    <cfRule type="expression" dxfId="5" priority="4" stopIfTrue="1">
      <formula>F31&gt;=$Y$4</formula>
    </cfRule>
    <cfRule type="expression" dxfId="4" priority="5" stopIfTrue="1">
      <formula>F31&gt;=$Y$4-6</formula>
    </cfRule>
    <cfRule type="expression" dxfId="3" priority="6" stopIfTrue="1">
      <formula>F31&lt;$Y$4-6</formula>
    </cfRule>
  </conditionalFormatting>
  <conditionalFormatting sqref="T31:Z35">
    <cfRule type="expression" dxfId="2" priority="7" stopIfTrue="1">
      <formula>$T31="SUPPORTED"</formula>
    </cfRule>
    <cfRule type="expression" dxfId="1" priority="8" stopIfTrue="1">
      <formula>$T31="REVIEW"</formula>
    </cfRule>
    <cfRule type="expression" dxfId="0" priority="9" stopIfTrue="1">
      <formula>$T31="NOT SUPPORTED"</formula>
    </cfRule>
  </conditionalFormatting>
  <dataValidations count="2">
    <dataValidation type="list" allowBlank="1" showInputMessage="1" showErrorMessage="1" sqref="D4" xr:uid="{24FF1CB7-C7D7-4FCC-93BB-32C41A76D4BA}">
      <formula1>"BN-2601,BN-2602,BN-2603,BN-2604,BN-2605"</formula1>
    </dataValidation>
    <dataValidation type="list" allowBlank="1" showInputMessage="1" showErrorMessage="1" sqref="J4" xr:uid="{82E35C1B-A944-49DA-BC5B-8E5C43B9F477}">
      <formula1>"25C/60%RH,30C/65%RH"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47AB-B8B7-4F49-9707-D7D5FFDE246F}">
  <dimension ref="A1:BV49"/>
  <sheetViews>
    <sheetView workbookViewId="0"/>
  </sheetViews>
  <sheetFormatPr defaultRowHeight="14" x14ac:dyDescent="0.3"/>
  <cols>
    <col min="1" max="1" width="28.6328125" style="1" customWidth="1"/>
    <col min="2" max="12" width="16.6328125" style="1" customWidth="1"/>
    <col min="13" max="16384" width="8.7265625" style="1"/>
  </cols>
  <sheetData>
    <row r="1" spans="1:2" x14ac:dyDescent="0.3">
      <c r="A1" s="6" t="s">
        <v>12</v>
      </c>
    </row>
    <row r="3" spans="1:2" x14ac:dyDescent="0.3">
      <c r="A3" s="1" t="s">
        <v>13</v>
      </c>
      <c r="B3" s="1" t="str">
        <f>Dashboard!$D$4</f>
        <v>BN-2601</v>
      </c>
    </row>
    <row r="4" spans="1:2" x14ac:dyDescent="0.3">
      <c r="A4" s="1" t="s">
        <v>14</v>
      </c>
      <c r="B4" s="1" t="str">
        <f>Dashboard!$J$4</f>
        <v>25C/60%RH</v>
      </c>
    </row>
    <row r="5" spans="1:2" x14ac:dyDescent="0.3">
      <c r="A5" s="1" t="s">
        <v>15</v>
      </c>
      <c r="B5" s="1">
        <f>Dashboard!$R$4</f>
        <v>95</v>
      </c>
    </row>
    <row r="6" spans="1:2" x14ac:dyDescent="0.3">
      <c r="A6" s="1" t="s">
        <v>16</v>
      </c>
      <c r="B6" s="1">
        <f>Dashboard!$Y$4</f>
        <v>36</v>
      </c>
    </row>
    <row r="7" spans="1:2" x14ac:dyDescent="0.3">
      <c r="A7" s="1" t="s">
        <v>17</v>
      </c>
      <c r="B7" s="1">
        <f>MATCH($B$3&amp;"|"&amp;$B$4,$A$31:$A$40,0)</f>
        <v>1</v>
      </c>
    </row>
    <row r="20" spans="1:74" x14ac:dyDescent="0.3">
      <c r="A20" s="1" t="s">
        <v>18</v>
      </c>
      <c r="B20" s="1">
        <v>0</v>
      </c>
      <c r="C20" s="1">
        <v>1</v>
      </c>
      <c r="D20" s="1">
        <v>2</v>
      </c>
      <c r="E20" s="1">
        <v>3</v>
      </c>
      <c r="F20" s="1">
        <v>6</v>
      </c>
      <c r="G20" s="1">
        <v>9</v>
      </c>
      <c r="H20" s="1">
        <v>12</v>
      </c>
      <c r="I20" s="1">
        <v>18</v>
      </c>
      <c r="J20" s="1">
        <v>24</v>
      </c>
    </row>
    <row r="21" spans="1:74" x14ac:dyDescent="0.3">
      <c r="A21" s="1" t="s">
        <v>19</v>
      </c>
      <c r="B21" s="1">
        <f>IF(INDEX(Data!C$2:C$11,$B$7)="",NA(),INDEX(Data!C$2:C$11,$B$7))</f>
        <v>100.45</v>
      </c>
      <c r="C21" s="1" t="e">
        <f>IF(INDEX(Data!D$2:D$11,$B$7)="",NA(),INDEX(Data!D$2:D$11,$B$7))</f>
        <v>#N/A</v>
      </c>
      <c r="D21" s="1" t="e">
        <f>IF(INDEX(Data!E$2:E$11,$B$7)="",NA(),INDEX(Data!E$2:E$11,$B$7))</f>
        <v>#N/A</v>
      </c>
      <c r="E21" s="1">
        <f>IF(INDEX(Data!F$2:F$11,$B$7)="",NA(),INDEX(Data!F$2:F$11,$B$7))</f>
        <v>100.24</v>
      </c>
      <c r="F21" s="1">
        <f>IF(INDEX(Data!G$2:G$11,$B$7)="",NA(),INDEX(Data!G$2:G$11,$B$7))</f>
        <v>99.86</v>
      </c>
      <c r="G21" s="1">
        <f>IF(INDEX(Data!H$2:H$11,$B$7)="",NA(),INDEX(Data!H$2:H$11,$B$7))</f>
        <v>99.3</v>
      </c>
      <c r="H21" s="1">
        <f>IF(INDEX(Data!I$2:I$11,$B$7)="",NA(),INDEX(Data!I$2:I$11,$B$7))</f>
        <v>99.52</v>
      </c>
      <c r="I21" s="1">
        <f>IF(INDEX(Data!J$2:J$11,$B$7)="",NA(),INDEX(Data!J$2:J$11,$B$7))</f>
        <v>98.83</v>
      </c>
      <c r="J21" s="1">
        <f>IF(INDEX(Data!K$2:K$11,$B$7)="",NA(),INDEX(Data!K$2:K$11,$B$7))</f>
        <v>98.72</v>
      </c>
    </row>
    <row r="23" spans="1:74" x14ac:dyDescent="0.3">
      <c r="A23" s="1" t="s">
        <v>20</v>
      </c>
      <c r="B23" s="1">
        <v>0</v>
      </c>
      <c r="C23" s="1">
        <v>1</v>
      </c>
      <c r="D23" s="1">
        <v>2</v>
      </c>
      <c r="E23" s="1">
        <v>3</v>
      </c>
      <c r="F23" s="1">
        <v>4</v>
      </c>
      <c r="G23" s="1">
        <v>5</v>
      </c>
      <c r="H23" s="1">
        <v>6</v>
      </c>
      <c r="I23" s="1">
        <v>7</v>
      </c>
      <c r="J23" s="1">
        <v>8</v>
      </c>
      <c r="K23" s="1">
        <v>9</v>
      </c>
      <c r="L23" s="1">
        <v>10</v>
      </c>
      <c r="M23" s="1">
        <v>11</v>
      </c>
      <c r="N23" s="1">
        <v>12</v>
      </c>
      <c r="O23" s="1">
        <v>13</v>
      </c>
      <c r="P23" s="1">
        <v>14</v>
      </c>
      <c r="Q23" s="1">
        <v>15</v>
      </c>
      <c r="R23" s="1">
        <v>16</v>
      </c>
      <c r="S23" s="1">
        <v>17</v>
      </c>
      <c r="T23" s="1">
        <v>18</v>
      </c>
      <c r="U23" s="1">
        <v>19</v>
      </c>
      <c r="V23" s="1">
        <v>20</v>
      </c>
      <c r="W23" s="1">
        <v>21</v>
      </c>
      <c r="X23" s="1">
        <v>22</v>
      </c>
      <c r="Y23" s="1">
        <v>23</v>
      </c>
      <c r="Z23" s="1">
        <v>24</v>
      </c>
      <c r="AA23" s="1">
        <v>25</v>
      </c>
      <c r="AB23" s="1">
        <v>26</v>
      </c>
      <c r="AC23" s="1">
        <v>27</v>
      </c>
      <c r="AD23" s="1">
        <v>28</v>
      </c>
      <c r="AE23" s="1">
        <v>29</v>
      </c>
      <c r="AF23" s="1">
        <v>30</v>
      </c>
      <c r="AG23" s="1">
        <v>31</v>
      </c>
      <c r="AH23" s="1">
        <v>32</v>
      </c>
      <c r="AI23" s="1">
        <v>33</v>
      </c>
      <c r="AJ23" s="1">
        <v>34</v>
      </c>
      <c r="AK23" s="1">
        <v>35</v>
      </c>
      <c r="AL23" s="1">
        <v>36</v>
      </c>
      <c r="AM23" s="1">
        <v>37</v>
      </c>
      <c r="AN23" s="1">
        <v>38</v>
      </c>
      <c r="AO23" s="1">
        <v>39</v>
      </c>
      <c r="AP23" s="1">
        <v>40</v>
      </c>
      <c r="AQ23" s="1">
        <v>41</v>
      </c>
      <c r="AR23" s="1">
        <v>42</v>
      </c>
      <c r="AS23" s="1">
        <v>43</v>
      </c>
      <c r="AT23" s="1">
        <v>44</v>
      </c>
      <c r="AU23" s="1">
        <v>45</v>
      </c>
      <c r="AV23" s="1">
        <v>46</v>
      </c>
      <c r="AW23" s="1">
        <v>47</v>
      </c>
      <c r="AX23" s="1">
        <v>48</v>
      </c>
      <c r="AY23" s="1">
        <v>49</v>
      </c>
      <c r="AZ23" s="1">
        <v>50</v>
      </c>
      <c r="BA23" s="1">
        <v>51</v>
      </c>
      <c r="BB23" s="1">
        <v>52</v>
      </c>
      <c r="BC23" s="1">
        <v>53</v>
      </c>
      <c r="BD23" s="1">
        <v>54</v>
      </c>
      <c r="BE23" s="1">
        <v>55</v>
      </c>
      <c r="BF23" s="1">
        <v>56</v>
      </c>
      <c r="BG23" s="1">
        <v>57</v>
      </c>
      <c r="BH23" s="1">
        <v>58</v>
      </c>
      <c r="BI23" s="1">
        <v>59</v>
      </c>
      <c r="BJ23" s="1">
        <v>60</v>
      </c>
    </row>
    <row r="24" spans="1:74" x14ac:dyDescent="0.3">
      <c r="A24" s="1" t="s">
        <v>21</v>
      </c>
      <c r="B24" s="9">
        <f t="shared" ref="B24:AG24" si="0">INDEX($F$31:$F$40,$B$7)+INDEX($E$31:$E$40,$B$7)*B$23</f>
        <v>100.33317365269463</v>
      </c>
      <c r="C24" s="9">
        <f t="shared" si="0"/>
        <v>100.25800399201599</v>
      </c>
      <c r="D24" s="9">
        <f t="shared" si="0"/>
        <v>100.18283433133735</v>
      </c>
      <c r="E24" s="9">
        <f t="shared" si="0"/>
        <v>100.10766467065869</v>
      </c>
      <c r="F24" s="9">
        <f t="shared" si="0"/>
        <v>100.03249500998005</v>
      </c>
      <c r="G24" s="9">
        <f t="shared" si="0"/>
        <v>99.957325349301414</v>
      </c>
      <c r="H24" s="9">
        <f t="shared" si="0"/>
        <v>99.882155688622774</v>
      </c>
      <c r="I24" s="9">
        <f t="shared" si="0"/>
        <v>99.80698602794412</v>
      </c>
      <c r="J24" s="9">
        <f t="shared" si="0"/>
        <v>99.73181636726548</v>
      </c>
      <c r="K24" s="9">
        <f t="shared" si="0"/>
        <v>99.656646706586841</v>
      </c>
      <c r="L24" s="9">
        <f t="shared" si="0"/>
        <v>99.581477045908201</v>
      </c>
      <c r="M24" s="9">
        <f t="shared" si="0"/>
        <v>99.506307385229562</v>
      </c>
      <c r="N24" s="9">
        <f t="shared" si="0"/>
        <v>99.431137724550908</v>
      </c>
      <c r="O24" s="9">
        <f t="shared" si="0"/>
        <v>99.355968063872268</v>
      </c>
      <c r="P24" s="9">
        <f t="shared" si="0"/>
        <v>99.280798403193629</v>
      </c>
      <c r="Q24" s="9">
        <f t="shared" si="0"/>
        <v>99.205628742514989</v>
      </c>
      <c r="R24" s="9">
        <f t="shared" si="0"/>
        <v>99.130459081836335</v>
      </c>
      <c r="S24" s="9">
        <f t="shared" si="0"/>
        <v>99.055289421157696</v>
      </c>
      <c r="T24" s="9">
        <f t="shared" si="0"/>
        <v>98.980119760479056</v>
      </c>
      <c r="U24" s="9">
        <f t="shared" si="0"/>
        <v>98.904950099800416</v>
      </c>
      <c r="V24" s="9">
        <f t="shared" si="0"/>
        <v>98.829780439121777</v>
      </c>
      <c r="W24" s="9">
        <f t="shared" si="0"/>
        <v>98.754610778443123</v>
      </c>
      <c r="X24" s="9">
        <f t="shared" si="0"/>
        <v>98.679441117764483</v>
      </c>
      <c r="Y24" s="9">
        <f t="shared" si="0"/>
        <v>98.604271457085844</v>
      </c>
      <c r="Z24" s="9">
        <f t="shared" si="0"/>
        <v>98.529101796407204</v>
      </c>
      <c r="AA24" s="9">
        <f t="shared" si="0"/>
        <v>98.45393213572855</v>
      </c>
      <c r="AB24" s="9">
        <f t="shared" si="0"/>
        <v>98.378762475049911</v>
      </c>
      <c r="AC24" s="9">
        <f t="shared" si="0"/>
        <v>98.303592814371271</v>
      </c>
      <c r="AD24" s="9">
        <f t="shared" si="0"/>
        <v>98.228423153692631</v>
      </c>
      <c r="AE24" s="9">
        <f t="shared" si="0"/>
        <v>98.153253493013992</v>
      </c>
      <c r="AF24" s="9">
        <f t="shared" si="0"/>
        <v>98.078083832335338</v>
      </c>
      <c r="AG24" s="9">
        <f t="shared" si="0"/>
        <v>98.002914171656698</v>
      </c>
      <c r="AH24" s="9">
        <f t="shared" ref="AH24:BJ24" si="1">INDEX($F$31:$F$40,$B$7)+INDEX($E$31:$E$40,$B$7)*AH$23</f>
        <v>97.927744510978059</v>
      </c>
      <c r="AI24" s="9">
        <f t="shared" si="1"/>
        <v>97.852574850299419</v>
      </c>
      <c r="AJ24" s="9">
        <f t="shared" si="1"/>
        <v>97.777405189620765</v>
      </c>
      <c r="AK24" s="9">
        <f t="shared" si="1"/>
        <v>97.702235528942126</v>
      </c>
      <c r="AL24" s="9">
        <f t="shared" si="1"/>
        <v>97.627065868263486</v>
      </c>
      <c r="AM24" s="9">
        <f t="shared" si="1"/>
        <v>97.551896207584846</v>
      </c>
      <c r="AN24" s="9">
        <f t="shared" si="1"/>
        <v>97.476726546906207</v>
      </c>
      <c r="AO24" s="9">
        <f t="shared" si="1"/>
        <v>97.401556886227553</v>
      </c>
      <c r="AP24" s="9">
        <f t="shared" si="1"/>
        <v>97.326387225548913</v>
      </c>
      <c r="AQ24" s="9">
        <f t="shared" si="1"/>
        <v>97.251217564870274</v>
      </c>
      <c r="AR24" s="9">
        <f t="shared" si="1"/>
        <v>97.176047904191634</v>
      </c>
      <c r="AS24" s="9">
        <f t="shared" si="1"/>
        <v>97.10087824351298</v>
      </c>
      <c r="AT24" s="9">
        <f t="shared" si="1"/>
        <v>97.025708582834341</v>
      </c>
      <c r="AU24" s="9">
        <f t="shared" si="1"/>
        <v>96.950538922155701</v>
      </c>
      <c r="AV24" s="9">
        <f t="shared" si="1"/>
        <v>96.875369261477061</v>
      </c>
      <c r="AW24" s="9">
        <f t="shared" si="1"/>
        <v>96.800199600798422</v>
      </c>
      <c r="AX24" s="9">
        <f t="shared" si="1"/>
        <v>96.725029940119768</v>
      </c>
      <c r="AY24" s="9">
        <f t="shared" si="1"/>
        <v>96.649860279441128</v>
      </c>
      <c r="AZ24" s="9">
        <f t="shared" si="1"/>
        <v>96.574690618762489</v>
      </c>
      <c r="BA24" s="9">
        <f t="shared" si="1"/>
        <v>96.499520958083849</v>
      </c>
      <c r="BB24" s="9">
        <f t="shared" si="1"/>
        <v>96.424351297405195</v>
      </c>
      <c r="BC24" s="9">
        <f t="shared" si="1"/>
        <v>96.349181636726556</v>
      </c>
      <c r="BD24" s="9">
        <f t="shared" si="1"/>
        <v>96.274011976047916</v>
      </c>
      <c r="BE24" s="9">
        <f t="shared" si="1"/>
        <v>96.198842315369276</v>
      </c>
      <c r="BF24" s="9">
        <f t="shared" si="1"/>
        <v>96.123672654690637</v>
      </c>
      <c r="BG24" s="9">
        <f t="shared" si="1"/>
        <v>96.048502994011983</v>
      </c>
      <c r="BH24" s="9">
        <f t="shared" si="1"/>
        <v>95.973333333333343</v>
      </c>
      <c r="BI24" s="9">
        <f t="shared" si="1"/>
        <v>95.898163672654704</v>
      </c>
      <c r="BJ24" s="9">
        <f t="shared" si="1"/>
        <v>95.822994011976064</v>
      </c>
    </row>
    <row r="25" spans="1:74" x14ac:dyDescent="0.3">
      <c r="A25" s="1" t="s">
        <v>22</v>
      </c>
      <c r="B25" s="9">
        <f t="shared" ref="B25:AG25" si="2">INDEX($N$31:$BV$40,$B$7,B$23+1)</f>
        <v>100.06606548782665</v>
      </c>
      <c r="C25" s="9">
        <f t="shared" si="2"/>
        <v>100.00702094153345</v>
      </c>
      <c r="D25" s="9">
        <f t="shared" si="2"/>
        <v>99.947267072205506</v>
      </c>
      <c r="E25" s="9">
        <f t="shared" si="2"/>
        <v>99.886655400320862</v>
      </c>
      <c r="F25" s="9">
        <f t="shared" si="2"/>
        <v>99.825005290642864</v>
      </c>
      <c r="G25" s="9">
        <f t="shared" si="2"/>
        <v>99.762100884284877</v>
      </c>
      <c r="H25" s="9">
        <f t="shared" si="2"/>
        <v>99.697691811653982</v>
      </c>
      <c r="I25" s="9">
        <f t="shared" si="2"/>
        <v>99.631501059565849</v>
      </c>
      <c r="J25" s="9">
        <f t="shared" si="2"/>
        <v>99.563243687385011</v>
      </c>
      <c r="K25" s="9">
        <f t="shared" si="2"/>
        <v>99.492658155972947</v>
      </c>
      <c r="L25" s="9">
        <f t="shared" si="2"/>
        <v>99.419546619126194</v>
      </c>
      <c r="M25" s="9">
        <f t="shared" si="2"/>
        <v>99.343813066688384</v>
      </c>
      <c r="N25" s="9">
        <f t="shared" si="2"/>
        <v>99.26548427287085</v>
      </c>
      <c r="O25" s="9">
        <f t="shared" si="2"/>
        <v>99.184703792630799</v>
      </c>
      <c r="P25" s="9">
        <f t="shared" si="2"/>
        <v>99.101701900689477</v>
      </c>
      <c r="Q25" s="9">
        <f t="shared" si="2"/>
        <v>99.016754747826539</v>
      </c>
      <c r="R25" s="9">
        <f t="shared" si="2"/>
        <v>98.930146983886857</v>
      </c>
      <c r="S25" s="9">
        <f t="shared" si="2"/>
        <v>98.842145785655092</v>
      </c>
      <c r="T25" s="9">
        <f t="shared" si="2"/>
        <v>98.752987190862527</v>
      </c>
      <c r="U25" s="9">
        <f t="shared" si="2"/>
        <v>98.662871763179908</v>
      </c>
      <c r="V25" s="9">
        <f t="shared" si="2"/>
        <v>98.571965854591937</v>
      </c>
      <c r="W25" s="9">
        <f t="shared" si="2"/>
        <v>98.4804055250532</v>
      </c>
      <c r="X25" s="9">
        <f t="shared" si="2"/>
        <v>98.388301281891799</v>
      </c>
      <c r="Y25" s="9">
        <f t="shared" si="2"/>
        <v>98.29574267539391</v>
      </c>
      <c r="Z25" s="9">
        <f t="shared" si="2"/>
        <v>98.202802338412496</v>
      </c>
      <c r="AA25" s="9">
        <f t="shared" si="2"/>
        <v>98.109539357787469</v>
      </c>
      <c r="AB25" s="9">
        <f t="shared" si="2"/>
        <v>98.016002007574045</v>
      </c>
      <c r="AC25" s="9">
        <f t="shared" si="2"/>
        <v>97.922229929334421</v>
      </c>
      <c r="AD25" s="9">
        <f t="shared" si="2"/>
        <v>97.828255856854227</v>
      </c>
      <c r="AE25" s="9">
        <f t="shared" si="2"/>
        <v>97.734106975803968</v>
      </c>
      <c r="AF25" s="9">
        <f t="shared" si="2"/>
        <v>97.639805995370466</v>
      </c>
      <c r="AG25" s="9">
        <f t="shared" si="2"/>
        <v>97.545371994458861</v>
      </c>
      <c r="AH25" s="9">
        <f t="shared" ref="AH25:BJ25" si="3">INDEX($N$31:$BV$40,$B$7,AH$23+1)</f>
        <v>97.450821092062341</v>
      </c>
      <c r="AI25" s="9">
        <f t="shared" si="3"/>
        <v>97.356166980538504</v>
      </c>
      <c r="AJ25" s="9">
        <f t="shared" si="3"/>
        <v>97.261421351825547</v>
      </c>
      <c r="AK25" s="9">
        <f t="shared" si="3"/>
        <v>97.166594239807125</v>
      </c>
      <c r="AL25" s="9">
        <f t="shared" si="3"/>
        <v>97.071694296753464</v>
      </c>
      <c r="AM25" s="9">
        <f t="shared" si="3"/>
        <v>96.976729017707129</v>
      </c>
      <c r="AN25" s="9">
        <f t="shared" si="3"/>
        <v>96.881704923570439</v>
      </c>
      <c r="AO25" s="9">
        <f t="shared" si="3"/>
        <v>96.786627711267172</v>
      </c>
      <c r="AP25" s="9">
        <f t="shared" si="3"/>
        <v>96.691502377523108</v>
      </c>
      <c r="AQ25" s="9">
        <f t="shared" si="3"/>
        <v>96.596333321401971</v>
      </c>
      <c r="AR25" s="9">
        <f t="shared" si="3"/>
        <v>96.501124429649252</v>
      </c>
      <c r="AS25" s="9">
        <f t="shared" si="3"/>
        <v>96.405879148054098</v>
      </c>
      <c r="AT25" s="9">
        <f t="shared" si="3"/>
        <v>96.31060054138608</v>
      </c>
      <c r="AU25" s="9">
        <f t="shared" si="3"/>
        <v>96.215291343952103</v>
      </c>
      <c r="AV25" s="9">
        <f t="shared" si="3"/>
        <v>96.119954002417813</v>
      </c>
      <c r="AW25" s="9">
        <f t="shared" si="3"/>
        <v>96.024590712221297</v>
      </c>
      <c r="AX25" s="9">
        <f t="shared" si="3"/>
        <v>95.929203448656239</v>
      </c>
      <c r="AY25" s="9">
        <f t="shared" si="3"/>
        <v>95.833793993502638</v>
      </c>
      <c r="AZ25" s="9">
        <f t="shared" si="3"/>
        <v>95.738363957923127</v>
      </c>
      <c r="BA25" s="9">
        <f t="shared" si="3"/>
        <v>95.642914802215813</v>
      </c>
      <c r="BB25" s="9">
        <f t="shared" si="3"/>
        <v>95.547447852910707</v>
      </c>
      <c r="BC25" s="9">
        <f t="shared" si="3"/>
        <v>95.451964317613402</v>
      </c>
      <c r="BD25" s="9">
        <f t="shared" si="3"/>
        <v>95.356465297931834</v>
      </c>
      <c r="BE25" s="9">
        <f t="shared" si="3"/>
        <v>95.26095180076635</v>
      </c>
      <c r="BF25" s="9">
        <f t="shared" si="3"/>
        <v>95.165424748198049</v>
      </c>
      <c r="BG25" s="9">
        <f t="shared" si="3"/>
        <v>95.069884986172511</v>
      </c>
      <c r="BH25" s="9">
        <f t="shared" si="3"/>
        <v>94.974333292145673</v>
      </c>
      <c r="BI25" s="9">
        <f t="shared" si="3"/>
        <v>94.878770381832538</v>
      </c>
      <c r="BJ25" s="9">
        <f t="shared" si="3"/>
        <v>94.783196915178564</v>
      </c>
    </row>
    <row r="26" spans="1:74" x14ac:dyDescent="0.3">
      <c r="A26" s="1" t="s">
        <v>23</v>
      </c>
      <c r="B26" s="9">
        <f t="shared" ref="B26:AG26" si="4">$B$5</f>
        <v>95</v>
      </c>
      <c r="C26" s="9">
        <f t="shared" si="4"/>
        <v>95</v>
      </c>
      <c r="D26" s="9">
        <f t="shared" si="4"/>
        <v>95</v>
      </c>
      <c r="E26" s="9">
        <f t="shared" si="4"/>
        <v>95</v>
      </c>
      <c r="F26" s="9">
        <f t="shared" si="4"/>
        <v>95</v>
      </c>
      <c r="G26" s="9">
        <f t="shared" si="4"/>
        <v>95</v>
      </c>
      <c r="H26" s="9">
        <f t="shared" si="4"/>
        <v>95</v>
      </c>
      <c r="I26" s="9">
        <f t="shared" si="4"/>
        <v>95</v>
      </c>
      <c r="J26" s="9">
        <f t="shared" si="4"/>
        <v>95</v>
      </c>
      <c r="K26" s="9">
        <f t="shared" si="4"/>
        <v>95</v>
      </c>
      <c r="L26" s="9">
        <f t="shared" si="4"/>
        <v>95</v>
      </c>
      <c r="M26" s="9">
        <f t="shared" si="4"/>
        <v>95</v>
      </c>
      <c r="N26" s="9">
        <f t="shared" si="4"/>
        <v>95</v>
      </c>
      <c r="O26" s="9">
        <f t="shared" si="4"/>
        <v>95</v>
      </c>
      <c r="P26" s="9">
        <f t="shared" si="4"/>
        <v>95</v>
      </c>
      <c r="Q26" s="9">
        <f t="shared" si="4"/>
        <v>95</v>
      </c>
      <c r="R26" s="9">
        <f t="shared" si="4"/>
        <v>95</v>
      </c>
      <c r="S26" s="9">
        <f t="shared" si="4"/>
        <v>95</v>
      </c>
      <c r="T26" s="9">
        <f t="shared" si="4"/>
        <v>95</v>
      </c>
      <c r="U26" s="9">
        <f t="shared" si="4"/>
        <v>95</v>
      </c>
      <c r="V26" s="9">
        <f t="shared" si="4"/>
        <v>95</v>
      </c>
      <c r="W26" s="9">
        <f t="shared" si="4"/>
        <v>95</v>
      </c>
      <c r="X26" s="9">
        <f t="shared" si="4"/>
        <v>95</v>
      </c>
      <c r="Y26" s="9">
        <f t="shared" si="4"/>
        <v>95</v>
      </c>
      <c r="Z26" s="9">
        <f t="shared" si="4"/>
        <v>95</v>
      </c>
      <c r="AA26" s="9">
        <f t="shared" si="4"/>
        <v>95</v>
      </c>
      <c r="AB26" s="9">
        <f t="shared" si="4"/>
        <v>95</v>
      </c>
      <c r="AC26" s="9">
        <f t="shared" si="4"/>
        <v>95</v>
      </c>
      <c r="AD26" s="9">
        <f t="shared" si="4"/>
        <v>95</v>
      </c>
      <c r="AE26" s="9">
        <f t="shared" si="4"/>
        <v>95</v>
      </c>
      <c r="AF26" s="9">
        <f t="shared" si="4"/>
        <v>95</v>
      </c>
      <c r="AG26" s="9">
        <f t="shared" si="4"/>
        <v>95</v>
      </c>
      <c r="AH26" s="9">
        <f t="shared" ref="AH26:BJ26" si="5">$B$5</f>
        <v>95</v>
      </c>
      <c r="AI26" s="9">
        <f t="shared" si="5"/>
        <v>95</v>
      </c>
      <c r="AJ26" s="9">
        <f t="shared" si="5"/>
        <v>95</v>
      </c>
      <c r="AK26" s="9">
        <f t="shared" si="5"/>
        <v>95</v>
      </c>
      <c r="AL26" s="9">
        <f t="shared" si="5"/>
        <v>95</v>
      </c>
      <c r="AM26" s="9">
        <f t="shared" si="5"/>
        <v>95</v>
      </c>
      <c r="AN26" s="9">
        <f t="shared" si="5"/>
        <v>95</v>
      </c>
      <c r="AO26" s="9">
        <f t="shared" si="5"/>
        <v>95</v>
      </c>
      <c r="AP26" s="9">
        <f t="shared" si="5"/>
        <v>95</v>
      </c>
      <c r="AQ26" s="9">
        <f t="shared" si="5"/>
        <v>95</v>
      </c>
      <c r="AR26" s="9">
        <f t="shared" si="5"/>
        <v>95</v>
      </c>
      <c r="AS26" s="9">
        <f t="shared" si="5"/>
        <v>95</v>
      </c>
      <c r="AT26" s="9">
        <f t="shared" si="5"/>
        <v>95</v>
      </c>
      <c r="AU26" s="9">
        <f t="shared" si="5"/>
        <v>95</v>
      </c>
      <c r="AV26" s="9">
        <f t="shared" si="5"/>
        <v>95</v>
      </c>
      <c r="AW26" s="9">
        <f t="shared" si="5"/>
        <v>95</v>
      </c>
      <c r="AX26" s="9">
        <f t="shared" si="5"/>
        <v>95</v>
      </c>
      <c r="AY26" s="9">
        <f t="shared" si="5"/>
        <v>95</v>
      </c>
      <c r="AZ26" s="9">
        <f t="shared" si="5"/>
        <v>95</v>
      </c>
      <c r="BA26" s="9">
        <f t="shared" si="5"/>
        <v>95</v>
      </c>
      <c r="BB26" s="9">
        <f t="shared" si="5"/>
        <v>95</v>
      </c>
      <c r="BC26" s="9">
        <f t="shared" si="5"/>
        <v>95</v>
      </c>
      <c r="BD26" s="9">
        <f t="shared" si="5"/>
        <v>95</v>
      </c>
      <c r="BE26" s="9">
        <f t="shared" si="5"/>
        <v>95</v>
      </c>
      <c r="BF26" s="9">
        <f t="shared" si="5"/>
        <v>95</v>
      </c>
      <c r="BG26" s="9">
        <f t="shared" si="5"/>
        <v>95</v>
      </c>
      <c r="BH26" s="9">
        <f t="shared" si="5"/>
        <v>95</v>
      </c>
      <c r="BI26" s="9">
        <f t="shared" si="5"/>
        <v>95</v>
      </c>
      <c r="BJ26" s="9">
        <f t="shared" si="5"/>
        <v>95</v>
      </c>
    </row>
    <row r="30" spans="1:74" x14ac:dyDescent="0.3">
      <c r="A30" s="7" t="s">
        <v>2</v>
      </c>
      <c r="B30" s="7" t="s">
        <v>0</v>
      </c>
      <c r="C30" s="7" t="s">
        <v>1</v>
      </c>
      <c r="D30" s="7" t="s">
        <v>24</v>
      </c>
      <c r="E30" s="7" t="s">
        <v>25</v>
      </c>
      <c r="F30" s="7" t="s">
        <v>26</v>
      </c>
      <c r="G30" s="7" t="s">
        <v>27</v>
      </c>
      <c r="H30" s="7" t="s">
        <v>28</v>
      </c>
      <c r="I30" s="7" t="s">
        <v>29</v>
      </c>
      <c r="J30" s="7" t="s">
        <v>30</v>
      </c>
      <c r="K30" s="7" t="s">
        <v>31</v>
      </c>
      <c r="L30" s="7" t="s">
        <v>32</v>
      </c>
      <c r="N30" s="1">
        <v>0</v>
      </c>
      <c r="O30" s="1">
        <v>1</v>
      </c>
      <c r="P30" s="1">
        <v>2</v>
      </c>
      <c r="Q30" s="1">
        <v>3</v>
      </c>
      <c r="R30" s="1">
        <v>4</v>
      </c>
      <c r="S30" s="1">
        <v>5</v>
      </c>
      <c r="T30" s="1">
        <v>6</v>
      </c>
      <c r="U30" s="1">
        <v>7</v>
      </c>
      <c r="V30" s="1">
        <v>8</v>
      </c>
      <c r="W30" s="1">
        <v>9</v>
      </c>
      <c r="X30" s="1">
        <v>10</v>
      </c>
      <c r="Y30" s="1">
        <v>11</v>
      </c>
      <c r="Z30" s="1">
        <v>12</v>
      </c>
      <c r="AA30" s="1">
        <v>13</v>
      </c>
      <c r="AB30" s="1">
        <v>14</v>
      </c>
      <c r="AC30" s="1">
        <v>15</v>
      </c>
      <c r="AD30" s="1">
        <v>16</v>
      </c>
      <c r="AE30" s="1">
        <v>17</v>
      </c>
      <c r="AF30" s="1">
        <v>18</v>
      </c>
      <c r="AG30" s="1">
        <v>19</v>
      </c>
      <c r="AH30" s="1">
        <v>20</v>
      </c>
      <c r="AI30" s="1">
        <v>21</v>
      </c>
      <c r="AJ30" s="1">
        <v>22</v>
      </c>
      <c r="AK30" s="1">
        <v>23</v>
      </c>
      <c r="AL30" s="1">
        <v>24</v>
      </c>
      <c r="AM30" s="1">
        <v>25</v>
      </c>
      <c r="AN30" s="1">
        <v>26</v>
      </c>
      <c r="AO30" s="1">
        <v>27</v>
      </c>
      <c r="AP30" s="1">
        <v>28</v>
      </c>
      <c r="AQ30" s="1">
        <v>29</v>
      </c>
      <c r="AR30" s="1">
        <v>30</v>
      </c>
      <c r="AS30" s="1">
        <v>31</v>
      </c>
      <c r="AT30" s="1">
        <v>32</v>
      </c>
      <c r="AU30" s="1">
        <v>33</v>
      </c>
      <c r="AV30" s="1">
        <v>34</v>
      </c>
      <c r="AW30" s="1">
        <v>35</v>
      </c>
      <c r="AX30" s="1">
        <v>36</v>
      </c>
      <c r="AY30" s="1">
        <v>37</v>
      </c>
      <c r="AZ30" s="1">
        <v>38</v>
      </c>
      <c r="BA30" s="1">
        <v>39</v>
      </c>
      <c r="BB30" s="1">
        <v>40</v>
      </c>
      <c r="BC30" s="1">
        <v>41</v>
      </c>
      <c r="BD30" s="1">
        <v>42</v>
      </c>
      <c r="BE30" s="1">
        <v>43</v>
      </c>
      <c r="BF30" s="1">
        <v>44</v>
      </c>
      <c r="BG30" s="1">
        <v>45</v>
      </c>
      <c r="BH30" s="1">
        <v>46</v>
      </c>
      <c r="BI30" s="1">
        <v>47</v>
      </c>
      <c r="BJ30" s="1">
        <v>48</v>
      </c>
      <c r="BK30" s="1">
        <v>49</v>
      </c>
      <c r="BL30" s="1">
        <v>50</v>
      </c>
      <c r="BM30" s="1">
        <v>51</v>
      </c>
      <c r="BN30" s="1">
        <v>52</v>
      </c>
      <c r="BO30" s="1">
        <v>53</v>
      </c>
      <c r="BP30" s="1">
        <v>54</v>
      </c>
      <c r="BQ30" s="1">
        <v>55</v>
      </c>
      <c r="BR30" s="1">
        <v>56</v>
      </c>
      <c r="BS30" s="1">
        <v>57</v>
      </c>
      <c r="BT30" s="1">
        <v>58</v>
      </c>
      <c r="BU30" s="1">
        <v>59</v>
      </c>
      <c r="BV30" s="1">
        <v>60</v>
      </c>
    </row>
    <row r="31" spans="1:74" x14ac:dyDescent="0.3">
      <c r="A31" s="1" t="str">
        <f>Data!L2</f>
        <v>BN-2601|25C/60%RH</v>
      </c>
      <c r="B31" s="1" t="str">
        <f>Data!A2</f>
        <v>BN-2601</v>
      </c>
      <c r="C31" s="1" t="str">
        <f>Data!B2</f>
        <v>25C/60%RH</v>
      </c>
      <c r="D31" s="1">
        <f>COUNT(Data!C2:K2)</f>
        <v>7</v>
      </c>
      <c r="E31" s="8">
        <f>SLOPE(Data!C2:K2,Data!$C$1:$K$1)</f>
        <v>-7.5169660678642766E-2</v>
      </c>
      <c r="F31" s="8">
        <f>INTERCEPT(Data!C2:K2,Data!$C$1:$K$1)</f>
        <v>100.33317365269463</v>
      </c>
      <c r="G31" s="8">
        <f>RSQ(Data!C2:K2,Data!$C$1:$K$1)</f>
        <v>0.91489203178741652</v>
      </c>
      <c r="H31" s="8">
        <f>STEYX(Data!C2:K2,Data!$C$1:$K$1)</f>
        <v>0.21247275274416433</v>
      </c>
      <c r="I31" s="8">
        <f>SUMPRODUCT((Data!C2:K2&lt;&gt;"")*Data!$C$1:$K$1)/D31</f>
        <v>10.285714285714286</v>
      </c>
      <c r="J31" s="8">
        <f>SUMPRODUCT((Data!C2:K2&lt;&gt;"")*(Data!$C$1:$K$1-I31)^2)</f>
        <v>429.42857142857144</v>
      </c>
      <c r="K31" s="8">
        <f t="shared" ref="K31:K40" si="6">_xlfn.T.INV(0.95,D31-2)</f>
        <v>2.0150483733330233</v>
      </c>
      <c r="L31" s="1">
        <f t="shared" ref="L31:L40" si="7">IFERROR(MAX(0,MATCH(TRUE,INDEX($N31:$BV31&lt;$B$5,0),0)-2),60)</f>
        <v>57</v>
      </c>
      <c r="N31" s="9">
        <f t="shared" ref="N31:W40" si="8">$F31+$E31*N$30-$K31*$H31*SQRT(1/$D31+(N$30-$I31)^2/$J31)</f>
        <v>100.06606548782665</v>
      </c>
      <c r="O31" s="9">
        <f t="shared" si="8"/>
        <v>100.00702094153345</v>
      </c>
      <c r="P31" s="9">
        <f t="shared" si="8"/>
        <v>99.947267072205506</v>
      </c>
      <c r="Q31" s="9">
        <f t="shared" si="8"/>
        <v>99.886655400320862</v>
      </c>
      <c r="R31" s="9">
        <f t="shared" si="8"/>
        <v>99.825005290642864</v>
      </c>
      <c r="S31" s="9">
        <f t="shared" si="8"/>
        <v>99.762100884284877</v>
      </c>
      <c r="T31" s="9">
        <f t="shared" si="8"/>
        <v>99.697691811653982</v>
      </c>
      <c r="U31" s="9">
        <f t="shared" si="8"/>
        <v>99.631501059565849</v>
      </c>
      <c r="V31" s="9">
        <f t="shared" si="8"/>
        <v>99.563243687385011</v>
      </c>
      <c r="W31" s="9">
        <f t="shared" si="8"/>
        <v>99.492658155972947</v>
      </c>
      <c r="X31" s="9">
        <f t="shared" ref="X31:AG40" si="9">$F31+$E31*X$30-$K31*$H31*SQRT(1/$D31+(X$30-$I31)^2/$J31)</f>
        <v>99.419546619126194</v>
      </c>
      <c r="Y31" s="9">
        <f t="shared" si="9"/>
        <v>99.343813066688384</v>
      </c>
      <c r="Z31" s="9">
        <f t="shared" si="9"/>
        <v>99.26548427287085</v>
      </c>
      <c r="AA31" s="9">
        <f t="shared" si="9"/>
        <v>99.184703792630799</v>
      </c>
      <c r="AB31" s="9">
        <f t="shared" si="9"/>
        <v>99.101701900689477</v>
      </c>
      <c r="AC31" s="9">
        <f t="shared" si="9"/>
        <v>99.016754747826539</v>
      </c>
      <c r="AD31" s="9">
        <f t="shared" si="9"/>
        <v>98.930146983886857</v>
      </c>
      <c r="AE31" s="9">
        <f t="shared" si="9"/>
        <v>98.842145785655092</v>
      </c>
      <c r="AF31" s="9">
        <f t="shared" si="9"/>
        <v>98.752987190862527</v>
      </c>
      <c r="AG31" s="9">
        <f t="shared" si="9"/>
        <v>98.662871763179908</v>
      </c>
      <c r="AH31" s="9">
        <f t="shared" ref="AH31:AQ40" si="10">$F31+$E31*AH$30-$K31*$H31*SQRT(1/$D31+(AH$30-$I31)^2/$J31)</f>
        <v>98.571965854591937</v>
      </c>
      <c r="AI31" s="9">
        <f t="shared" si="10"/>
        <v>98.4804055250532</v>
      </c>
      <c r="AJ31" s="9">
        <f t="shared" si="10"/>
        <v>98.388301281891799</v>
      </c>
      <c r="AK31" s="9">
        <f t="shared" si="10"/>
        <v>98.29574267539391</v>
      </c>
      <c r="AL31" s="9">
        <f t="shared" si="10"/>
        <v>98.202802338412496</v>
      </c>
      <c r="AM31" s="9">
        <f t="shared" si="10"/>
        <v>98.109539357787469</v>
      </c>
      <c r="AN31" s="9">
        <f t="shared" si="10"/>
        <v>98.016002007574045</v>
      </c>
      <c r="AO31" s="9">
        <f t="shared" si="10"/>
        <v>97.922229929334421</v>
      </c>
      <c r="AP31" s="9">
        <f t="shared" si="10"/>
        <v>97.828255856854227</v>
      </c>
      <c r="AQ31" s="9">
        <f t="shared" si="10"/>
        <v>97.734106975803968</v>
      </c>
      <c r="AR31" s="9">
        <f t="shared" ref="AR31:BA40" si="11">$F31+$E31*AR$30-$K31*$H31*SQRT(1/$D31+(AR$30-$I31)^2/$J31)</f>
        <v>97.639805995370466</v>
      </c>
      <c r="AS31" s="9">
        <f t="shared" si="11"/>
        <v>97.545371994458861</v>
      </c>
      <c r="AT31" s="9">
        <f t="shared" si="11"/>
        <v>97.450821092062341</v>
      </c>
      <c r="AU31" s="9">
        <f t="shared" si="11"/>
        <v>97.356166980538504</v>
      </c>
      <c r="AV31" s="9">
        <f t="shared" si="11"/>
        <v>97.261421351825547</v>
      </c>
      <c r="AW31" s="9">
        <f t="shared" si="11"/>
        <v>97.166594239807125</v>
      </c>
      <c r="AX31" s="9">
        <f t="shared" si="11"/>
        <v>97.071694296753464</v>
      </c>
      <c r="AY31" s="9">
        <f t="shared" si="11"/>
        <v>96.976729017707129</v>
      </c>
      <c r="AZ31" s="9">
        <f t="shared" si="11"/>
        <v>96.881704923570439</v>
      </c>
      <c r="BA31" s="9">
        <f t="shared" si="11"/>
        <v>96.786627711267172</v>
      </c>
      <c r="BB31" s="9">
        <f t="shared" ref="BB31:BK40" si="12">$F31+$E31*BB$30-$K31*$H31*SQRT(1/$D31+(BB$30-$I31)^2/$J31)</f>
        <v>96.691502377523108</v>
      </c>
      <c r="BC31" s="9">
        <f t="shared" si="12"/>
        <v>96.596333321401971</v>
      </c>
      <c r="BD31" s="9">
        <f t="shared" si="12"/>
        <v>96.501124429649252</v>
      </c>
      <c r="BE31" s="9">
        <f t="shared" si="12"/>
        <v>96.405879148054098</v>
      </c>
      <c r="BF31" s="9">
        <f t="shared" si="12"/>
        <v>96.31060054138608</v>
      </c>
      <c r="BG31" s="9">
        <f t="shared" si="12"/>
        <v>96.215291343952103</v>
      </c>
      <c r="BH31" s="9">
        <f t="shared" si="12"/>
        <v>96.119954002417813</v>
      </c>
      <c r="BI31" s="9">
        <f t="shared" si="12"/>
        <v>96.024590712221297</v>
      </c>
      <c r="BJ31" s="9">
        <f t="shared" si="12"/>
        <v>95.929203448656239</v>
      </c>
      <c r="BK31" s="9">
        <f t="shared" si="12"/>
        <v>95.833793993502638</v>
      </c>
      <c r="BL31" s="9">
        <f t="shared" ref="BL31:BV40" si="13">$F31+$E31*BL$30-$K31*$H31*SQRT(1/$D31+(BL$30-$I31)^2/$J31)</f>
        <v>95.738363957923127</v>
      </c>
      <c r="BM31" s="9">
        <f t="shared" si="13"/>
        <v>95.642914802215813</v>
      </c>
      <c r="BN31" s="9">
        <f t="shared" si="13"/>
        <v>95.547447852910707</v>
      </c>
      <c r="BO31" s="9">
        <f t="shared" si="13"/>
        <v>95.451964317613402</v>
      </c>
      <c r="BP31" s="9">
        <f t="shared" si="13"/>
        <v>95.356465297931834</v>
      </c>
      <c r="BQ31" s="9">
        <f t="shared" si="13"/>
        <v>95.26095180076635</v>
      </c>
      <c r="BR31" s="9">
        <f t="shared" si="13"/>
        <v>95.165424748198049</v>
      </c>
      <c r="BS31" s="9">
        <f t="shared" si="13"/>
        <v>95.069884986172511</v>
      </c>
      <c r="BT31" s="9">
        <f t="shared" si="13"/>
        <v>94.974333292145673</v>
      </c>
      <c r="BU31" s="9">
        <f t="shared" si="13"/>
        <v>94.878770381832538</v>
      </c>
      <c r="BV31" s="9">
        <f t="shared" si="13"/>
        <v>94.783196915178564</v>
      </c>
    </row>
    <row r="32" spans="1:74" x14ac:dyDescent="0.3">
      <c r="A32" s="1" t="str">
        <f>Data!L3</f>
        <v>BN-2601|30C/65%RH</v>
      </c>
      <c r="B32" s="1" t="str">
        <f>Data!A3</f>
        <v>BN-2601</v>
      </c>
      <c r="C32" s="1" t="str">
        <f>Data!B3</f>
        <v>30C/65%RH</v>
      </c>
      <c r="D32" s="1">
        <f>COUNT(Data!C3:K3)</f>
        <v>5</v>
      </c>
      <c r="E32" s="8">
        <f>SLOPE(Data!C3:K3,Data!$C$1:$K$1)</f>
        <v>-0.12666666666666657</v>
      </c>
      <c r="F32" s="8">
        <f>INTERCEPT(Data!C3:K3,Data!$C$1:$K$1)</f>
        <v>100.13800000000002</v>
      </c>
      <c r="G32" s="8">
        <f>RSQ(Data!C3:K3,Data!$C$1:$K$1)</f>
        <v>0.9904793261448116</v>
      </c>
      <c r="H32" s="8">
        <f>STEYX(Data!C3:K3,Data!$C$1:$K$1)</f>
        <v>6.801960501698974E-2</v>
      </c>
      <c r="I32" s="8">
        <f>SUMPRODUCT((Data!C3:K3&lt;&gt;"")*Data!$C$1:$K$1)/D32</f>
        <v>6</v>
      </c>
      <c r="J32" s="8">
        <f>SUMPRODUCT((Data!C3:K3&lt;&gt;"")*(Data!$C$1:$K$1-I32)^2)</f>
        <v>90</v>
      </c>
      <c r="K32" s="8">
        <f t="shared" si="6"/>
        <v>2.3533634348018233</v>
      </c>
      <c r="L32" s="1">
        <f t="shared" si="7"/>
        <v>36</v>
      </c>
      <c r="N32" s="9">
        <f t="shared" si="8"/>
        <v>100.01400655335631</v>
      </c>
      <c r="O32" s="9">
        <f t="shared" si="8"/>
        <v>99.900687241131507</v>
      </c>
      <c r="P32" s="9">
        <f t="shared" si="8"/>
        <v>99.786278852798418</v>
      </c>
      <c r="Q32" s="9">
        <f t="shared" si="8"/>
        <v>99.670323393055568</v>
      </c>
      <c r="R32" s="9">
        <f t="shared" si="8"/>
        <v>99.552190208666147</v>
      </c>
      <c r="S32" s="9">
        <f t="shared" si="8"/>
        <v>99.431117348191464</v>
      </c>
      <c r="T32" s="9">
        <f t="shared" si="8"/>
        <v>99.306412350202521</v>
      </c>
      <c r="U32" s="9">
        <f t="shared" si="8"/>
        <v>99.177784014858133</v>
      </c>
      <c r="V32" s="9">
        <f t="shared" si="8"/>
        <v>99.045523541999472</v>
      </c>
      <c r="W32" s="9">
        <f t="shared" si="8"/>
        <v>98.910323393055563</v>
      </c>
      <c r="X32" s="9">
        <f t="shared" si="9"/>
        <v>98.772945519465082</v>
      </c>
      <c r="Y32" s="9">
        <f t="shared" si="9"/>
        <v>98.634020574464842</v>
      </c>
      <c r="Z32" s="9">
        <f t="shared" si="9"/>
        <v>98.494006553356314</v>
      </c>
      <c r="AA32" s="9">
        <f t="shared" si="9"/>
        <v>98.353218840281713</v>
      </c>
      <c r="AB32" s="9">
        <f t="shared" si="9"/>
        <v>98.211871794826962</v>
      </c>
      <c r="AC32" s="9">
        <f t="shared" si="9"/>
        <v>98.070112079590587</v>
      </c>
      <c r="AD32" s="9">
        <f t="shared" si="9"/>
        <v>97.928041609386042</v>
      </c>
      <c r="AE32" s="9">
        <f t="shared" si="9"/>
        <v>97.785732557964764</v>
      </c>
      <c r="AF32" s="9">
        <f t="shared" si="9"/>
        <v>97.643237050607539</v>
      </c>
      <c r="AG32" s="9">
        <f t="shared" si="9"/>
        <v>97.500593456962207</v>
      </c>
      <c r="AH32" s="9">
        <f t="shared" si="10"/>
        <v>97.357830530833496</v>
      </c>
      <c r="AI32" s="9">
        <f t="shared" si="10"/>
        <v>97.214970179166642</v>
      </c>
      <c r="AJ32" s="9">
        <f t="shared" si="10"/>
        <v>97.072029347268909</v>
      </c>
      <c r="AK32" s="9">
        <f t="shared" si="10"/>
        <v>96.929021325244534</v>
      </c>
      <c r="AL32" s="9">
        <f t="shared" si="10"/>
        <v>96.78595666892717</v>
      </c>
      <c r="AM32" s="9">
        <f t="shared" si="10"/>
        <v>96.64284385965307</v>
      </c>
      <c r="AN32" s="9">
        <f t="shared" si="10"/>
        <v>96.49968978416625</v>
      </c>
      <c r="AO32" s="9">
        <f t="shared" si="10"/>
        <v>96.356500088672249</v>
      </c>
      <c r="AP32" s="9">
        <f t="shared" si="10"/>
        <v>96.213279443511382</v>
      </c>
      <c r="AQ32" s="9">
        <f t="shared" si="10"/>
        <v>96.070031743454933</v>
      </c>
      <c r="AR32" s="9">
        <f t="shared" si="11"/>
        <v>95.926760261019894</v>
      </c>
      <c r="AS32" s="9">
        <f t="shared" si="11"/>
        <v>95.783467765071748</v>
      </c>
      <c r="AT32" s="9">
        <f t="shared" si="11"/>
        <v>95.640156613483981</v>
      </c>
      <c r="AU32" s="9">
        <f t="shared" si="11"/>
        <v>95.496828826197458</v>
      </c>
      <c r="AV32" s="9">
        <f t="shared" si="11"/>
        <v>95.353486143322087</v>
      </c>
      <c r="AW32" s="9">
        <f t="shared" si="11"/>
        <v>95.210130071715241</v>
      </c>
      <c r="AX32" s="9">
        <f t="shared" si="11"/>
        <v>95.066761922603618</v>
      </c>
      <c r="AY32" s="9">
        <f t="shared" si="11"/>
        <v>94.923382842185717</v>
      </c>
      <c r="AZ32" s="9">
        <f t="shared" si="11"/>
        <v>94.779993836689471</v>
      </c>
      <c r="BA32" s="9">
        <f t="shared" si="11"/>
        <v>94.636595793018088</v>
      </c>
      <c r="BB32" s="9">
        <f t="shared" si="12"/>
        <v>94.49318949586042</v>
      </c>
      <c r="BC32" s="9">
        <f t="shared" si="12"/>
        <v>94.349775641950302</v>
      </c>
      <c r="BD32" s="9">
        <f t="shared" si="12"/>
        <v>94.206354852011756</v>
      </c>
      <c r="BE32" s="9">
        <f t="shared" si="12"/>
        <v>94.062927680815534</v>
      </c>
      <c r="BF32" s="9">
        <f t="shared" si="12"/>
        <v>93.919494625685076</v>
      </c>
      <c r="BG32" s="9">
        <f t="shared" si="12"/>
        <v>93.776056133723046</v>
      </c>
      <c r="BH32" s="9">
        <f t="shared" si="12"/>
        <v>93.632612607976967</v>
      </c>
      <c r="BI32" s="9">
        <f t="shared" si="12"/>
        <v>93.489164412720527</v>
      </c>
      <c r="BJ32" s="9">
        <f t="shared" si="12"/>
        <v>93.345711877995072</v>
      </c>
      <c r="BK32" s="9">
        <f t="shared" si="12"/>
        <v>93.202255303528744</v>
      </c>
      <c r="BL32" s="9">
        <f t="shared" si="13"/>
        <v>93.058794962130648</v>
      </c>
      <c r="BM32" s="9">
        <f t="shared" si="13"/>
        <v>92.915331102639897</v>
      </c>
      <c r="BN32" s="9">
        <f t="shared" si="13"/>
        <v>92.771863952496119</v>
      </c>
      <c r="BO32" s="9">
        <f t="shared" si="13"/>
        <v>92.628393719986761</v>
      </c>
      <c r="BP32" s="9">
        <f t="shared" si="13"/>
        <v>92.484920596217592</v>
      </c>
      <c r="BQ32" s="9">
        <f t="shared" si="13"/>
        <v>92.341444756845334</v>
      </c>
      <c r="BR32" s="9">
        <f t="shared" si="13"/>
        <v>92.197966363605005</v>
      </c>
      <c r="BS32" s="9">
        <f t="shared" si="13"/>
        <v>92.054485565660087</v>
      </c>
      <c r="BT32" s="9">
        <f t="shared" si="13"/>
        <v>91.911002500798574</v>
      </c>
      <c r="BU32" s="9">
        <f t="shared" si="13"/>
        <v>91.767517296495456</v>
      </c>
      <c r="BV32" s="9">
        <f t="shared" si="13"/>
        <v>91.624030070858382</v>
      </c>
    </row>
    <row r="33" spans="1:74" x14ac:dyDescent="0.3">
      <c r="A33" s="1" t="str">
        <f>Data!L4</f>
        <v>BN-2602|25C/60%RH</v>
      </c>
      <c r="B33" s="1" t="str">
        <f>Data!A4</f>
        <v>BN-2602</v>
      </c>
      <c r="C33" s="1" t="str">
        <f>Data!B4</f>
        <v>25C/60%RH</v>
      </c>
      <c r="D33" s="1">
        <f>COUNT(Data!C4:K4)</f>
        <v>7</v>
      </c>
      <c r="E33" s="8">
        <f>SLOPE(Data!C4:K4,Data!$C$1:$K$1)</f>
        <v>-7.3942115768463046E-2</v>
      </c>
      <c r="F33" s="8">
        <f>INTERCEPT(Data!C4:K4,Data!$C$1:$K$1)</f>
        <v>100.74197604790419</v>
      </c>
      <c r="G33" s="8">
        <f>RSQ(Data!C4:K4,Data!$C$1:$K$1)</f>
        <v>0.96513636144979686</v>
      </c>
      <c r="H33" s="8">
        <f>STEYX(Data!C4:K4,Data!$C$1:$K$1)</f>
        <v>0.13023999036325234</v>
      </c>
      <c r="I33" s="8">
        <f>SUMPRODUCT((Data!C4:K4&lt;&gt;"")*Data!$C$1:$K$1)/D33</f>
        <v>10.285714285714286</v>
      </c>
      <c r="J33" s="8">
        <f>SUMPRODUCT((Data!C4:K4&lt;&gt;"")*(Data!$C$1:$K$1-I33)^2)</f>
        <v>429.42857142857144</v>
      </c>
      <c r="K33" s="8">
        <f t="shared" si="6"/>
        <v>2.0150483733330233</v>
      </c>
      <c r="L33" s="1">
        <f t="shared" si="7"/>
        <v>60</v>
      </c>
      <c r="N33" s="9">
        <f t="shared" si="8"/>
        <v>100.57824604314334</v>
      </c>
      <c r="O33" s="9">
        <f t="shared" si="8"/>
        <v>100.51418818177947</v>
      </c>
      <c r="P33" s="9">
        <f t="shared" si="8"/>
        <v>100.44969552478173</v>
      </c>
      <c r="Q33" s="9">
        <f t="shared" si="8"/>
        <v>100.38467705826123</v>
      </c>
      <c r="R33" s="9">
        <f t="shared" si="8"/>
        <v>100.31902205775482</v>
      </c>
      <c r="S33" s="9">
        <f t="shared" si="8"/>
        <v>100.25259820766465</v>
      </c>
      <c r="T33" s="9">
        <f t="shared" si="8"/>
        <v>100.18525203827302</v>
      </c>
      <c r="U33" s="9">
        <f t="shared" si="8"/>
        <v>100.11681374806902</v>
      </c>
      <c r="V33" s="9">
        <f t="shared" si="8"/>
        <v>100.04710867623071</v>
      </c>
      <c r="W33" s="9">
        <f t="shared" si="8"/>
        <v>99.975976506414341</v>
      </c>
      <c r="X33" s="9">
        <f t="shared" si="9"/>
        <v>99.903295964304476</v>
      </c>
      <c r="Y33" s="9">
        <f t="shared" si="9"/>
        <v>99.829008198299306</v>
      </c>
      <c r="Z33" s="9">
        <f t="shared" si="9"/>
        <v>99.753129620258633</v>
      </c>
      <c r="AA33" s="9">
        <f t="shared" si="9"/>
        <v>99.675748225447705</v>
      </c>
      <c r="AB33" s="9">
        <f t="shared" si="9"/>
        <v>99.597005165977038</v>
      </c>
      <c r="AC33" s="9">
        <f t="shared" si="9"/>
        <v>99.517069714727143</v>
      </c>
      <c r="AD33" s="9">
        <f t="shared" si="9"/>
        <v>99.436116354273182</v>
      </c>
      <c r="AE33" s="9">
        <f t="shared" si="9"/>
        <v>99.354308856681968</v>
      </c>
      <c r="AF33" s="9">
        <f t="shared" si="9"/>
        <v>99.271791906631648</v>
      </c>
      <c r="AG33" s="9">
        <f t="shared" si="9"/>
        <v>99.188688444170822</v>
      </c>
      <c r="AH33" s="9">
        <f t="shared" si="10"/>
        <v>99.105100438519557</v>
      </c>
      <c r="AI33" s="9">
        <f t="shared" si="10"/>
        <v>99.021111290711403</v>
      </c>
      <c r="AJ33" s="9">
        <f t="shared" si="10"/>
        <v>98.936788738718178</v>
      </c>
      <c r="AK33" s="9">
        <f t="shared" si="10"/>
        <v>98.852187674417834</v>
      </c>
      <c r="AL33" s="9">
        <f t="shared" si="10"/>
        <v>98.767352619764125</v>
      </c>
      <c r="AM33" s="9">
        <f t="shared" si="10"/>
        <v>98.682319793375029</v>
      </c>
      <c r="AN33" s="9">
        <f t="shared" si="10"/>
        <v>98.597118785927009</v>
      </c>
      <c r="AO33" s="9">
        <f t="shared" si="10"/>
        <v>98.51177389661423</v>
      </c>
      <c r="AP33" s="9">
        <f t="shared" si="10"/>
        <v>98.426305190352693</v>
      </c>
      <c r="AQ33" s="9">
        <f t="shared" si="10"/>
        <v>98.340729331215357</v>
      </c>
      <c r="AR33" s="9">
        <f t="shared" si="11"/>
        <v>98.255060239313124</v>
      </c>
      <c r="AS33" s="9">
        <f t="shared" si="11"/>
        <v>98.169309609493368</v>
      </c>
      <c r="AT33" s="9">
        <f t="shared" si="11"/>
        <v>98.083487322258392</v>
      </c>
      <c r="AU33" s="9">
        <f t="shared" si="11"/>
        <v>97.997601770649155</v>
      </c>
      <c r="AV33" s="9">
        <f t="shared" si="11"/>
        <v>97.911660121504241</v>
      </c>
      <c r="AW33" s="9">
        <f t="shared" si="11"/>
        <v>97.825668525320083</v>
      </c>
      <c r="AX33" s="9">
        <f t="shared" si="11"/>
        <v>97.739632285701859</v>
      </c>
      <c r="AY33" s="9">
        <f t="shared" si="11"/>
        <v>97.653555996905823</v>
      </c>
      <c r="AZ33" s="9">
        <f t="shared" si="11"/>
        <v>97.567443656066871</v>
      </c>
      <c r="BA33" s="9">
        <f t="shared" si="11"/>
        <v>97.481298755243586</v>
      </c>
      <c r="BB33" s="9">
        <f t="shared" si="12"/>
        <v>97.395124357292246</v>
      </c>
      <c r="BC33" s="9">
        <f t="shared" si="12"/>
        <v>97.30892315871877</v>
      </c>
      <c r="BD33" s="9">
        <f t="shared" si="12"/>
        <v>97.222697541991877</v>
      </c>
      <c r="BE33" s="9">
        <f t="shared" si="12"/>
        <v>97.13644961928614</v>
      </c>
      <c r="BF33" s="9">
        <f t="shared" si="12"/>
        <v>97.050181269221525</v>
      </c>
      <c r="BG33" s="9">
        <f t="shared" si="12"/>
        <v>96.963894167853439</v>
      </c>
      <c r="BH33" s="9">
        <f t="shared" si="12"/>
        <v>96.877589814921095</v>
      </c>
      <c r="BI33" s="9">
        <f t="shared" si="12"/>
        <v>96.79126955616799</v>
      </c>
      <c r="BJ33" s="9">
        <f t="shared" si="12"/>
        <v>96.704934602395198</v>
      </c>
      <c r="BK33" s="9">
        <f t="shared" si="12"/>
        <v>96.618586045785136</v>
      </c>
      <c r="BL33" s="9">
        <f t="shared" si="13"/>
        <v>96.532224873936457</v>
      </c>
      <c r="BM33" s="9">
        <f t="shared" si="13"/>
        <v>96.445851981972012</v>
      </c>
      <c r="BN33" s="9">
        <f t="shared" si="13"/>
        <v>96.35946818301845</v>
      </c>
      <c r="BO33" s="9">
        <f t="shared" si="13"/>
        <v>96.27307421730498</v>
      </c>
      <c r="BP33" s="9">
        <f t="shared" si="13"/>
        <v>96.186670760087139</v>
      </c>
      <c r="BQ33" s="9">
        <f t="shared" si="13"/>
        <v>96.100258428567358</v>
      </c>
      <c r="BR33" s="9">
        <f t="shared" si="13"/>
        <v>96.013837787956106</v>
      </c>
      <c r="BS33" s="9">
        <f t="shared" si="13"/>
        <v>95.927409356794954</v>
      </c>
      <c r="BT33" s="9">
        <f t="shared" si="13"/>
        <v>95.840973611643108</v>
      </c>
      <c r="BU33" s="9">
        <f t="shared" si="13"/>
        <v>95.754530991214324</v>
      </c>
      <c r="BV33" s="9">
        <f t="shared" si="13"/>
        <v>95.668081900037095</v>
      </c>
    </row>
    <row r="34" spans="1:74" x14ac:dyDescent="0.3">
      <c r="A34" s="1" t="str">
        <f>Data!L5</f>
        <v>BN-2602|30C/65%RH</v>
      </c>
      <c r="B34" s="1" t="str">
        <f>Data!A5</f>
        <v>BN-2602</v>
      </c>
      <c r="C34" s="1" t="str">
        <f>Data!B5</f>
        <v>30C/65%RH</v>
      </c>
      <c r="D34" s="1">
        <f>COUNT(Data!C5:K5)</f>
        <v>5</v>
      </c>
      <c r="E34" s="8">
        <f>SLOPE(Data!C5:K5,Data!$C$1:$K$1)</f>
        <v>-0.10066666666666653</v>
      </c>
      <c r="F34" s="8">
        <f>INTERCEPT(Data!C5:K5,Data!$C$1:$K$1)</f>
        <v>100.556</v>
      </c>
      <c r="G34" s="8">
        <f>RSQ(Data!C5:K5,Data!$C$1:$K$1)</f>
        <v>0.97577780630804112</v>
      </c>
      <c r="H34" s="8">
        <f>STEYX(Data!C5:K5,Data!$C$1:$K$1)</f>
        <v>8.6871552689397349E-2</v>
      </c>
      <c r="I34" s="8">
        <f>SUMPRODUCT((Data!C5:K5&lt;&gt;"")*Data!$C$1:$K$1)/D34</f>
        <v>6</v>
      </c>
      <c r="J34" s="8">
        <f>SUMPRODUCT((Data!C5:K5&lt;&gt;"")*(Data!$C$1:$K$1-I34)^2)</f>
        <v>90</v>
      </c>
      <c r="K34" s="8">
        <f t="shared" si="6"/>
        <v>2.3533634348018233</v>
      </c>
      <c r="L34" s="1">
        <f t="shared" si="7"/>
        <v>46</v>
      </c>
      <c r="N34" s="9">
        <f t="shared" si="8"/>
        <v>100.39764119696727</v>
      </c>
      <c r="O34" s="9">
        <f t="shared" si="8"/>
        <v>100.31402116566949</v>
      </c>
      <c r="P34" s="9">
        <f t="shared" si="8"/>
        <v>100.22901021579023</v>
      </c>
      <c r="Q34" s="9">
        <f t="shared" si="8"/>
        <v>100.14202341651497</v>
      </c>
      <c r="R34" s="9">
        <f t="shared" si="8"/>
        <v>100.05225532614975</v>
      </c>
      <c r="S34" s="9">
        <f t="shared" si="8"/>
        <v>99.95873281489564</v>
      </c>
      <c r="T34" s="9">
        <f t="shared" si="8"/>
        <v>99.860571502440507</v>
      </c>
      <c r="U34" s="9">
        <f t="shared" si="8"/>
        <v>99.757399481562302</v>
      </c>
      <c r="V34" s="9">
        <f t="shared" si="8"/>
        <v>99.649588659483072</v>
      </c>
      <c r="W34" s="9">
        <f t="shared" si="8"/>
        <v>99.538023416514989</v>
      </c>
      <c r="X34" s="9">
        <f t="shared" si="9"/>
        <v>99.423676882456903</v>
      </c>
      <c r="Y34" s="9">
        <f t="shared" si="9"/>
        <v>99.307354499002827</v>
      </c>
      <c r="Z34" s="9">
        <f t="shared" si="9"/>
        <v>99.189641196967273</v>
      </c>
      <c r="AA34" s="9">
        <f t="shared" si="9"/>
        <v>99.07093977066404</v>
      </c>
      <c r="AB34" s="9">
        <f t="shared" si="9"/>
        <v>98.951523990428257</v>
      </c>
      <c r="AC34" s="9">
        <f t="shared" si="9"/>
        <v>98.831581167074987</v>
      </c>
      <c r="AD34" s="9">
        <f t="shared" si="9"/>
        <v>98.711241461578979</v>
      </c>
      <c r="AE34" s="9">
        <f t="shared" si="9"/>
        <v>98.590597050980122</v>
      </c>
      <c r="AF34" s="9">
        <f t="shared" si="9"/>
        <v>98.469714507321541</v>
      </c>
      <c r="AG34" s="9">
        <f t="shared" si="9"/>
        <v>98.348642834576182</v>
      </c>
      <c r="AH34" s="9">
        <f t="shared" si="10"/>
        <v>98.227418755798539</v>
      </c>
      <c r="AI34" s="9">
        <f t="shared" si="10"/>
        <v>98.106070249544942</v>
      </c>
      <c r="AJ34" s="9">
        <f t="shared" si="10"/>
        <v>97.984618957592744</v>
      </c>
      <c r="AK34" s="9">
        <f t="shared" si="10"/>
        <v>97.863081853460017</v>
      </c>
      <c r="AL34" s="9">
        <f t="shared" si="10"/>
        <v>97.741472418578439</v>
      </c>
      <c r="AM34" s="9">
        <f t="shared" si="10"/>
        <v>97.619801484925802</v>
      </c>
      <c r="AN34" s="9">
        <f t="shared" si="10"/>
        <v>97.498077847938958</v>
      </c>
      <c r="AO34" s="9">
        <f t="shared" si="10"/>
        <v>97.376308718695455</v>
      </c>
      <c r="AP34" s="9">
        <f t="shared" si="10"/>
        <v>97.254500061941982</v>
      </c>
      <c r="AQ34" s="9">
        <f t="shared" si="10"/>
        <v>97.132656851903661</v>
      </c>
      <c r="AR34" s="9">
        <f t="shared" si="11"/>
        <v>97.010783268090677</v>
      </c>
      <c r="AS34" s="9">
        <f t="shared" si="11"/>
        <v>96.88888284677239</v>
      </c>
      <c r="AT34" s="9">
        <f t="shared" si="11"/>
        <v>96.766958599317803</v>
      </c>
      <c r="AU34" s="9">
        <f t="shared" si="11"/>
        <v>96.645013105503722</v>
      </c>
      <c r="AV34" s="9">
        <f t="shared" si="11"/>
        <v>96.523048587719543</v>
      </c>
      <c r="AW34" s="9">
        <f t="shared" si="11"/>
        <v>96.401066970455119</v>
      </c>
      <c r="AX34" s="9">
        <f t="shared" si="11"/>
        <v>96.279069928349713</v>
      </c>
      <c r="AY34" s="9">
        <f t="shared" si="11"/>
        <v>96.15705892527599</v>
      </c>
      <c r="AZ34" s="9">
        <f t="shared" si="11"/>
        <v>96.03503524634263</v>
      </c>
      <c r="BA34" s="9">
        <f t="shared" si="11"/>
        <v>95.913000024262132</v>
      </c>
      <c r="BB34" s="9">
        <f t="shared" si="12"/>
        <v>95.790954261203538</v>
      </c>
      <c r="BC34" s="9">
        <f t="shared" si="12"/>
        <v>95.668898847003632</v>
      </c>
      <c r="BD34" s="9">
        <f t="shared" si="12"/>
        <v>95.546834574422988</v>
      </c>
      <c r="BE34" s="9">
        <f t="shared" si="12"/>
        <v>95.42476215198964</v>
      </c>
      <c r="BF34" s="9">
        <f t="shared" si="12"/>
        <v>95.3026822148625</v>
      </c>
      <c r="BG34" s="9">
        <f t="shared" si="12"/>
        <v>95.180595334060826</v>
      </c>
      <c r="BH34" s="9">
        <f t="shared" si="12"/>
        <v>95.058502024338594</v>
      </c>
      <c r="BI34" s="9">
        <f t="shared" si="12"/>
        <v>94.936402750929631</v>
      </c>
      <c r="BJ34" s="9">
        <f t="shared" si="12"/>
        <v>94.814297935347767</v>
      </c>
      <c r="BK34" s="9">
        <f t="shared" si="12"/>
        <v>94.692187960392204</v>
      </c>
      <c r="BL34" s="9">
        <f t="shared" si="13"/>
        <v>94.570073174482332</v>
      </c>
      <c r="BM34" s="9">
        <f t="shared" si="13"/>
        <v>94.447953895424178</v>
      </c>
      <c r="BN34" s="9">
        <f t="shared" si="13"/>
        <v>94.325830413693325</v>
      </c>
      <c r="BO34" s="9">
        <f t="shared" si="13"/>
        <v>94.203702995305008</v>
      </c>
      <c r="BP34" s="9">
        <f t="shared" si="13"/>
        <v>94.081571884330899</v>
      </c>
      <c r="BQ34" s="9">
        <f t="shared" si="13"/>
        <v>93.959437305111749</v>
      </c>
      <c r="BR34" s="9">
        <f t="shared" si="13"/>
        <v>93.837299464208215</v>
      </c>
      <c r="BS34" s="9">
        <f t="shared" si="13"/>
        <v>93.715158552125089</v>
      </c>
      <c r="BT34" s="9">
        <f t="shared" si="13"/>
        <v>93.593014744838968</v>
      </c>
      <c r="BU34" s="9">
        <f t="shared" si="13"/>
        <v>93.470868205155128</v>
      </c>
      <c r="BV34" s="9">
        <f t="shared" si="13"/>
        <v>93.348719083915285</v>
      </c>
    </row>
    <row r="35" spans="1:74" x14ac:dyDescent="0.3">
      <c r="A35" s="1" t="str">
        <f>Data!L6</f>
        <v>BN-2603|25C/60%RH</v>
      </c>
      <c r="B35" s="1" t="str">
        <f>Data!A6</f>
        <v>BN-2603</v>
      </c>
      <c r="C35" s="1" t="str">
        <f>Data!B6</f>
        <v>25C/60%RH</v>
      </c>
      <c r="D35" s="1">
        <f>COUNT(Data!C6:K6)</f>
        <v>7</v>
      </c>
      <c r="E35" s="8">
        <f>SLOPE(Data!C6:K6,Data!$C$1:$K$1)</f>
        <v>-7.515968063872247E-2</v>
      </c>
      <c r="F35" s="8">
        <f>INTERCEPT(Data!C6:K6,Data!$C$1:$K$1)</f>
        <v>100.10592814371259</v>
      </c>
      <c r="G35" s="8">
        <f>RSQ(Data!C6:K6,Data!$C$1:$K$1)</f>
        <v>0.92288104472366805</v>
      </c>
      <c r="H35" s="8">
        <f>STEYX(Data!C6:K6,Data!$C$1:$K$1)</f>
        <v>0.20135067868866047</v>
      </c>
      <c r="I35" s="8">
        <f>SUMPRODUCT((Data!C6:K6&lt;&gt;"")*Data!$C$1:$K$1)/D35</f>
        <v>10.285714285714286</v>
      </c>
      <c r="J35" s="8">
        <f>SUMPRODUCT((Data!C6:K6&lt;&gt;"")*(Data!$C$1:$K$1-I35)^2)</f>
        <v>429.42857142857144</v>
      </c>
      <c r="K35" s="8">
        <f t="shared" si="6"/>
        <v>2.0150483733330233</v>
      </c>
      <c r="L35" s="1">
        <f t="shared" si="7"/>
        <v>55</v>
      </c>
      <c r="N35" s="9">
        <f t="shared" si="8"/>
        <v>99.852801991842142</v>
      </c>
      <c r="O35" s="9">
        <f t="shared" si="8"/>
        <v>99.792923342222736</v>
      </c>
      <c r="P35" s="9">
        <f t="shared" si="8"/>
        <v>99.732372499709825</v>
      </c>
      <c r="Q35" s="9">
        <f t="shared" si="8"/>
        <v>99.671008757073295</v>
      </c>
      <c r="R35" s="9">
        <f t="shared" si="8"/>
        <v>99.608660934587618</v>
      </c>
      <c r="S35" s="9">
        <f t="shared" si="8"/>
        <v>99.545124472690389</v>
      </c>
      <c r="T35" s="9">
        <f t="shared" si="8"/>
        <v>99.480162107606347</v>
      </c>
      <c r="U35" s="9">
        <f t="shared" si="8"/>
        <v>99.413511326651161</v>
      </c>
      <c r="V35" s="9">
        <f t="shared" si="8"/>
        <v>99.344902104658757</v>
      </c>
      <c r="W35" s="9">
        <f t="shared" si="8"/>
        <v>99.27408659298807</v>
      </c>
      <c r="X35" s="9">
        <f t="shared" si="9"/>
        <v>99.200877301869994</v>
      </c>
      <c r="Y35" s="9">
        <f t="shared" si="9"/>
        <v>99.125183246884689</v>
      </c>
      <c r="Z35" s="9">
        <f t="shared" si="9"/>
        <v>99.047029800723735</v>
      </c>
      <c r="AA35" s="9">
        <f t="shared" si="9"/>
        <v>98.96655300383317</v>
      </c>
      <c r="AB35" s="9">
        <f t="shared" si="9"/>
        <v>98.88397107700041</v>
      </c>
      <c r="AC35" s="9">
        <f t="shared" si="9"/>
        <v>98.799545715648506</v>
      </c>
      <c r="AD35" s="9">
        <f t="shared" si="9"/>
        <v>98.713546669374551</v>
      </c>
      <c r="AE35" s="9">
        <f t="shared" si="9"/>
        <v>98.626227129358227</v>
      </c>
      <c r="AF35" s="9">
        <f t="shared" si="9"/>
        <v>98.537810777727145</v>
      </c>
      <c r="AG35" s="9">
        <f t="shared" si="9"/>
        <v>98.448487679469409</v>
      </c>
      <c r="AH35" s="9">
        <f t="shared" si="10"/>
        <v>98.358415478728062</v>
      </c>
      <c r="AI35" s="9">
        <f t="shared" si="10"/>
        <v>98.267723113279104</v>
      </c>
      <c r="AJ35" s="9">
        <f t="shared" si="10"/>
        <v>98.176515305846848</v>
      </c>
      <c r="AK35" s="9">
        <f t="shared" si="10"/>
        <v>98.084876919128561</v>
      </c>
      <c r="AL35" s="9">
        <f t="shared" si="10"/>
        <v>97.992876783946343</v>
      </c>
      <c r="AM35" s="9">
        <f t="shared" si="10"/>
        <v>97.900570894187226</v>
      </c>
      <c r="AN35" s="9">
        <f t="shared" si="10"/>
        <v>97.80800499695836</v>
      </c>
      <c r="AO35" s="9">
        <f t="shared" si="10"/>
        <v>97.715216658749299</v>
      </c>
      <c r="AP35" s="9">
        <f t="shared" si="10"/>
        <v>97.622236899866735</v>
      </c>
      <c r="AQ35" s="9">
        <f t="shared" si="10"/>
        <v>97.529091482923249</v>
      </c>
      <c r="AR35" s="9">
        <f t="shared" si="11"/>
        <v>97.435801928373152</v>
      </c>
      <c r="AS35" s="9">
        <f t="shared" si="11"/>
        <v>97.342386316419493</v>
      </c>
      <c r="AT35" s="9">
        <f t="shared" si="11"/>
        <v>97.248859922292468</v>
      </c>
      <c r="AU35" s="9">
        <f t="shared" si="11"/>
        <v>97.155235721611106</v>
      </c>
      <c r="AV35" s="9">
        <f t="shared" si="11"/>
        <v>97.061524794288815</v>
      </c>
      <c r="AW35" s="9">
        <f t="shared" si="11"/>
        <v>96.967736648976697</v>
      </c>
      <c r="AX35" s="9">
        <f t="shared" si="11"/>
        <v>96.873879485034252</v>
      </c>
      <c r="AY35" s="9">
        <f t="shared" si="11"/>
        <v>96.779960405169433</v>
      </c>
      <c r="AZ35" s="9">
        <f t="shared" si="11"/>
        <v>96.685985588942131</v>
      </c>
      <c r="BA35" s="9">
        <f t="shared" si="11"/>
        <v>96.591960435065687</v>
      </c>
      <c r="BB35" s="9">
        <f t="shared" si="12"/>
        <v>96.497889678707736</v>
      </c>
      <c r="BC35" s="9">
        <f t="shared" si="12"/>
        <v>96.403777488659216</v>
      </c>
      <c r="BD35" s="9">
        <f t="shared" si="12"/>
        <v>96.309627548210472</v>
      </c>
      <c r="BE35" s="9">
        <f t="shared" si="12"/>
        <v>96.215443122777756</v>
      </c>
      <c r="BF35" s="9">
        <f t="shared" si="12"/>
        <v>96.12122711670257</v>
      </c>
      <c r="BG35" s="9">
        <f t="shared" si="12"/>
        <v>96.026982121162106</v>
      </c>
      <c r="BH35" s="9">
        <f t="shared" si="12"/>
        <v>95.932710454749127</v>
      </c>
      <c r="BI35" s="9">
        <f t="shared" si="12"/>
        <v>95.838414197979588</v>
      </c>
      <c r="BJ35" s="9">
        <f t="shared" si="12"/>
        <v>95.744095222748712</v>
      </c>
      <c r="BK35" s="9">
        <f t="shared" si="12"/>
        <v>95.649755217567574</v>
      </c>
      <c r="BL35" s="9">
        <f t="shared" si="13"/>
        <v>95.55539570926112</v>
      </c>
      <c r="BM35" s="9">
        <f t="shared" si="13"/>
        <v>95.461018081686845</v>
      </c>
      <c r="BN35" s="9">
        <f t="shared" si="13"/>
        <v>95.366623591936403</v>
      </c>
      <c r="BO35" s="9">
        <f t="shared" si="13"/>
        <v>95.272213384402178</v>
      </c>
      <c r="BP35" s="9">
        <f t="shared" si="13"/>
        <v>95.177788503027458</v>
      </c>
      <c r="BQ35" s="9">
        <f t="shared" si="13"/>
        <v>95.083349902005523</v>
      </c>
      <c r="BR35" s="9">
        <f t="shared" si="13"/>
        <v>94.98889845515032</v>
      </c>
      <c r="BS35" s="9">
        <f t="shared" si="13"/>
        <v>94.894434964125637</v>
      </c>
      <c r="BT35" s="9">
        <f t="shared" si="13"/>
        <v>94.79996016569082</v>
      </c>
      <c r="BU35" s="9">
        <f t="shared" si="13"/>
        <v>94.705474738096129</v>
      </c>
      <c r="BV35" s="9">
        <f t="shared" si="13"/>
        <v>94.610979306741584</v>
      </c>
    </row>
    <row r="36" spans="1:74" x14ac:dyDescent="0.3">
      <c r="A36" s="1" t="str">
        <f>Data!L7</f>
        <v>BN-2603|30C/65%RH</v>
      </c>
      <c r="B36" s="1" t="str">
        <f>Data!A7</f>
        <v>BN-2603</v>
      </c>
      <c r="C36" s="1" t="str">
        <f>Data!B7</f>
        <v>30C/65%RH</v>
      </c>
      <c r="D36" s="1">
        <f>COUNT(Data!C7:K7)</f>
        <v>5</v>
      </c>
      <c r="E36" s="8">
        <f>SLOPE(Data!C7:K7,Data!$C$1:$K$1)</f>
        <v>-0.13433333333333383</v>
      </c>
      <c r="F36" s="8">
        <f>INTERCEPT(Data!C7:K7,Data!$C$1:$K$1)</f>
        <v>99.845999999999989</v>
      </c>
      <c r="G36" s="8">
        <f>RSQ(Data!C7:K7,Data!$C$1:$K$1)</f>
        <v>0.85994387376892834</v>
      </c>
      <c r="H36" s="8">
        <f>STEYX(Data!C7:K7,Data!$C$1:$K$1)</f>
        <v>0.29693433617552761</v>
      </c>
      <c r="I36" s="8">
        <f>SUMPRODUCT((Data!C7:K7&lt;&gt;"")*Data!$C$1:$K$1)/D36</f>
        <v>6</v>
      </c>
      <c r="J36" s="8">
        <f>SUMPRODUCT((Data!C7:K7&lt;&gt;"")*(Data!$C$1:$K$1-I36)^2)</f>
        <v>90</v>
      </c>
      <c r="K36" s="8">
        <f t="shared" si="6"/>
        <v>2.3533634348018233</v>
      </c>
      <c r="L36" s="1">
        <f t="shared" si="7"/>
        <v>25</v>
      </c>
      <c r="N36" s="9">
        <f t="shared" si="8"/>
        <v>99.304716178077342</v>
      </c>
      <c r="O36" s="9">
        <f t="shared" si="8"/>
        <v>99.228649690455654</v>
      </c>
      <c r="P36" s="9">
        <f t="shared" si="8"/>
        <v>99.147828925134576</v>
      </c>
      <c r="Q36" s="9">
        <f t="shared" si="8"/>
        <v>99.060254538971904</v>
      </c>
      <c r="R36" s="9">
        <f t="shared" si="8"/>
        <v>98.963173463934183</v>
      </c>
      <c r="S36" s="9">
        <f t="shared" si="8"/>
        <v>98.853259459820734</v>
      </c>
      <c r="T36" s="9">
        <f t="shared" si="8"/>
        <v>98.727489639704956</v>
      </c>
      <c r="U36" s="9">
        <f t="shared" si="8"/>
        <v>98.584592793154059</v>
      </c>
      <c r="V36" s="9">
        <f t="shared" si="8"/>
        <v>98.425840130600847</v>
      </c>
      <c r="W36" s="9">
        <f t="shared" si="8"/>
        <v>98.254254538971907</v>
      </c>
      <c r="X36" s="9">
        <f t="shared" si="9"/>
        <v>98.073162258467903</v>
      </c>
      <c r="Y36" s="9">
        <f t="shared" si="9"/>
        <v>97.885316357122306</v>
      </c>
      <c r="Z36" s="9">
        <f t="shared" si="9"/>
        <v>97.692716178077333</v>
      </c>
      <c r="AA36" s="9">
        <f t="shared" si="9"/>
        <v>97.496738506465405</v>
      </c>
      <c r="AB36" s="9">
        <f t="shared" si="9"/>
        <v>97.29831911251533</v>
      </c>
      <c r="AC36" s="9">
        <f t="shared" si="9"/>
        <v>97.098098240482031</v>
      </c>
      <c r="AD36" s="9">
        <f t="shared" si="9"/>
        <v>96.896520791618286</v>
      </c>
      <c r="AE36" s="9">
        <f t="shared" si="9"/>
        <v>96.69390183486577</v>
      </c>
      <c r="AF36" s="9">
        <f t="shared" si="9"/>
        <v>96.490468919114889</v>
      </c>
      <c r="AG36" s="9">
        <f t="shared" si="9"/>
        <v>96.286389544102136</v>
      </c>
      <c r="AH36" s="9">
        <f t="shared" si="10"/>
        <v>96.0817892323428</v>
      </c>
      <c r="AI36" s="9">
        <f t="shared" si="10"/>
        <v>95.876763616915753</v>
      </c>
      <c r="AJ36" s="9">
        <f t="shared" si="10"/>
        <v>95.671386671251909</v>
      </c>
      <c r="AK36" s="9">
        <f t="shared" si="10"/>
        <v>95.465716412275768</v>
      </c>
      <c r="AL36" s="9">
        <f t="shared" si="10"/>
        <v>95.259798920664451</v>
      </c>
      <c r="AM36" s="9">
        <f t="shared" si="10"/>
        <v>95.053671221036851</v>
      </c>
      <c r="AN36" s="9">
        <f t="shared" si="10"/>
        <v>94.847363376942283</v>
      </c>
      <c r="AO36" s="9">
        <f t="shared" si="10"/>
        <v>94.640900036455491</v>
      </c>
      <c r="AP36" s="9">
        <f t="shared" si="10"/>
        <v>94.434301587586518</v>
      </c>
      <c r="AQ36" s="9">
        <f t="shared" si="10"/>
        <v>94.227585032658922</v>
      </c>
      <c r="AR36" s="9">
        <f t="shared" si="11"/>
        <v>94.020764657593006</v>
      </c>
      <c r="AS36" s="9">
        <f t="shared" si="11"/>
        <v>93.813852549657398</v>
      </c>
      <c r="AT36" s="9">
        <f t="shared" si="11"/>
        <v>93.606859001966825</v>
      </c>
      <c r="AU36" s="9">
        <f t="shared" si="11"/>
        <v>93.399792832417162</v>
      </c>
      <c r="AV36" s="9">
        <f t="shared" si="11"/>
        <v>93.192661637324036</v>
      </c>
      <c r="AW36" s="9">
        <f t="shared" si="11"/>
        <v>92.985471994756935</v>
      </c>
      <c r="AX36" s="9">
        <f t="shared" si="11"/>
        <v>92.778229628774881</v>
      </c>
      <c r="AY36" s="9">
        <f t="shared" si="11"/>
        <v>92.57093954301881</v>
      </c>
      <c r="AZ36" s="9">
        <f t="shared" si="11"/>
        <v>92.363606130099299</v>
      </c>
      <c r="BA36" s="9">
        <f t="shared" si="11"/>
        <v>92.156233261723685</v>
      </c>
      <c r="BB36" s="9">
        <f t="shared" si="12"/>
        <v>91.948824363390727</v>
      </c>
      <c r="BC36" s="9">
        <f t="shared" si="12"/>
        <v>91.741382476638094</v>
      </c>
      <c r="BD36" s="9">
        <f t="shared" si="12"/>
        <v>91.533910311188691</v>
      </c>
      <c r="BE36" s="9">
        <f t="shared" si="12"/>
        <v>91.32641028885142</v>
      </c>
      <c r="BF36" s="9">
        <f t="shared" si="12"/>
        <v>91.118884580653315</v>
      </c>
      <c r="BG36" s="9">
        <f t="shared" si="12"/>
        <v>90.911335138386633</v>
      </c>
      <c r="BH36" s="9">
        <f t="shared" si="12"/>
        <v>90.703763721524084</v>
      </c>
      <c r="BI36" s="9">
        <f t="shared" si="12"/>
        <v>90.496171920274506</v>
      </c>
      <c r="BJ36" s="9">
        <f t="shared" si="12"/>
        <v>90.288561175407779</v>
      </c>
      <c r="BK36" s="9">
        <f t="shared" si="12"/>
        <v>90.080932795364077</v>
      </c>
      <c r="BL36" s="9">
        <f t="shared" si="13"/>
        <v>89.873287971070454</v>
      </c>
      <c r="BM36" s="9">
        <f t="shared" si="13"/>
        <v>89.665627788814902</v>
      </c>
      <c r="BN36" s="9">
        <f t="shared" si="13"/>
        <v>89.457953241467465</v>
      </c>
      <c r="BO36" s="9">
        <f t="shared" si="13"/>
        <v>89.250265238290964</v>
      </c>
      <c r="BP36" s="9">
        <f t="shared" si="13"/>
        <v>89.042564613542964</v>
      </c>
      <c r="BQ36" s="9">
        <f t="shared" si="13"/>
        <v>88.834852134039224</v>
      </c>
      <c r="BR36" s="9">
        <f t="shared" si="13"/>
        <v>88.627128505821588</v>
      </c>
      <c r="BS36" s="9">
        <f t="shared" si="13"/>
        <v>88.419394380051557</v>
      </c>
      <c r="BT36" s="9">
        <f t="shared" si="13"/>
        <v>88.211650358232106</v>
      </c>
      <c r="BU36" s="9">
        <f t="shared" si="13"/>
        <v>88.003896996845455</v>
      </c>
      <c r="BV36" s="9">
        <f t="shared" si="13"/>
        <v>87.796134811481437</v>
      </c>
    </row>
    <row r="37" spans="1:74" x14ac:dyDescent="0.3">
      <c r="A37" s="1" t="str">
        <f>Data!L8</f>
        <v>BN-2604|25C/60%RH</v>
      </c>
      <c r="B37" s="1" t="str">
        <f>Data!A8</f>
        <v>BN-2604</v>
      </c>
      <c r="C37" s="1" t="str">
        <f>Data!B8</f>
        <v>25C/60%RH</v>
      </c>
      <c r="D37" s="1">
        <f>COUNT(Data!C8:K8)</f>
        <v>7</v>
      </c>
      <c r="E37" s="8">
        <f>SLOPE(Data!C8:K8,Data!$C$1:$K$1)</f>
        <v>-7.067864271457068E-2</v>
      </c>
      <c r="F37" s="8">
        <f>INTERCEPT(Data!C8:K8,Data!$C$1:$K$1)</f>
        <v>99.702694610778437</v>
      </c>
      <c r="G37" s="8">
        <f>RSQ(Data!C8:K8,Data!$C$1:$K$1)</f>
        <v>0.87926178278631206</v>
      </c>
      <c r="H37" s="8">
        <f>STEYX(Data!C8:K8,Data!$C$1:$K$1)</f>
        <v>0.24272356815711357</v>
      </c>
      <c r="I37" s="8">
        <f>SUMPRODUCT((Data!C8:K8&lt;&gt;"")*Data!$C$1:$K$1)/D37</f>
        <v>10.285714285714286</v>
      </c>
      <c r="J37" s="8">
        <f>SUMPRODUCT((Data!C8:K8&lt;&gt;"")*(Data!$C$1:$K$1-I37)^2)</f>
        <v>429.42857142857144</v>
      </c>
      <c r="K37" s="8">
        <f t="shared" si="6"/>
        <v>2.0150483733330233</v>
      </c>
      <c r="L37" s="1">
        <f t="shared" si="7"/>
        <v>52</v>
      </c>
      <c r="N37" s="9">
        <f t="shared" si="8"/>
        <v>99.397556911834414</v>
      </c>
      <c r="O37" s="9">
        <f t="shared" si="8"/>
        <v>99.345299197215468</v>
      </c>
      <c r="P37" s="9">
        <f t="shared" si="8"/>
        <v>99.292231169670515</v>
      </c>
      <c r="Q37" s="9">
        <f t="shared" si="8"/>
        <v>99.23818320990064</v>
      </c>
      <c r="R37" s="9">
        <f t="shared" si="8"/>
        <v>99.182948964721149</v>
      </c>
      <c r="S37" s="9">
        <f t="shared" si="8"/>
        <v>99.126281842329121</v>
      </c>
      <c r="T37" s="9">
        <f t="shared" si="8"/>
        <v>99.06789582675232</v>
      </c>
      <c r="U37" s="9">
        <f t="shared" si="8"/>
        <v>99.007474465044851</v>
      </c>
      <c r="V37" s="9">
        <f t="shared" si="8"/>
        <v>98.944692248138509</v>
      </c>
      <c r="W37" s="9">
        <f t="shared" si="8"/>
        <v>98.879250400251081</v>
      </c>
      <c r="X37" s="9">
        <f t="shared" si="9"/>
        <v>98.810922906819101</v>
      </c>
      <c r="Y37" s="9">
        <f t="shared" si="9"/>
        <v>98.739600088236926</v>
      </c>
      <c r="Z37" s="9">
        <f t="shared" si="9"/>
        <v>98.665312530695175</v>
      </c>
      <c r="AA37" s="9">
        <f t="shared" si="9"/>
        <v>98.588224227792921</v>
      </c>
      <c r="AB37" s="9">
        <f t="shared" si="9"/>
        <v>98.508598239622714</v>
      </c>
      <c r="AC37" s="9">
        <f t="shared" si="9"/>
        <v>98.426750033940905</v>
      </c>
      <c r="AD37" s="9">
        <f t="shared" si="9"/>
        <v>98.343004787623713</v>
      </c>
      <c r="AE37" s="9">
        <f t="shared" si="9"/>
        <v>98.257667716759599</v>
      </c>
      <c r="AF37" s="9">
        <f t="shared" si="9"/>
        <v>98.171008464959868</v>
      </c>
      <c r="AG37" s="9">
        <f t="shared" si="9"/>
        <v>98.083256151154785</v>
      </c>
      <c r="AH37" s="9">
        <f t="shared" si="10"/>
        <v>97.994600811698518</v>
      </c>
      <c r="AI37" s="9">
        <f t="shared" si="10"/>
        <v>97.905197878086312</v>
      </c>
      <c r="AJ37" s="9">
        <f t="shared" si="10"/>
        <v>97.815173591130886</v>
      </c>
      <c r="AK37" s="9">
        <f t="shared" si="10"/>
        <v>97.724630250843433</v>
      </c>
      <c r="AL37" s="9">
        <f t="shared" si="10"/>
        <v>97.633650831181868</v>
      </c>
      <c r="AM37" s="9">
        <f t="shared" si="10"/>
        <v>97.542302831476945</v>
      </c>
      <c r="AN37" s="9">
        <f t="shared" si="10"/>
        <v>97.450641398804109</v>
      </c>
      <c r="AO37" s="9">
        <f t="shared" si="10"/>
        <v>97.358711818694331</v>
      </c>
      <c r="AP37" s="9">
        <f t="shared" si="10"/>
        <v>97.266551485407106</v>
      </c>
      <c r="AQ37" s="9">
        <f t="shared" si="10"/>
        <v>97.174191455173727</v>
      </c>
      <c r="AR37" s="9">
        <f t="shared" si="11"/>
        <v>97.081657670402208</v>
      </c>
      <c r="AS37" s="9">
        <f t="shared" si="11"/>
        <v>96.988971926357493</v>
      </c>
      <c r="AT37" s="9">
        <f t="shared" si="11"/>
        <v>96.896152636974961</v>
      </c>
      <c r="AU37" s="9">
        <f t="shared" si="11"/>
        <v>96.803215444062062</v>
      </c>
      <c r="AV37" s="9">
        <f t="shared" si="11"/>
        <v>96.71017370419716</v>
      </c>
      <c r="AW37" s="9">
        <f t="shared" si="11"/>
        <v>96.61703887983839</v>
      </c>
      <c r="AX37" s="9">
        <f t="shared" si="11"/>
        <v>96.523820855123247</v>
      </c>
      <c r="AY37" s="9">
        <f t="shared" si="11"/>
        <v>96.430528192201265</v>
      </c>
      <c r="AZ37" s="9">
        <f t="shared" si="11"/>
        <v>96.337168340388416</v>
      </c>
      <c r="BA37" s="9">
        <f t="shared" si="11"/>
        <v>96.243747807708246</v>
      </c>
      <c r="BB37" s="9">
        <f t="shared" si="12"/>
        <v>96.150272302295463</v>
      </c>
      <c r="BC37" s="9">
        <f t="shared" si="12"/>
        <v>96.056746849530697</v>
      </c>
      <c r="BD37" s="9">
        <f t="shared" si="12"/>
        <v>95.963175889534952</v>
      </c>
      <c r="BE37" s="9">
        <f t="shared" si="12"/>
        <v>95.869563358691721</v>
      </c>
      <c r="BF37" s="9">
        <f t="shared" si="12"/>
        <v>95.775912758117244</v>
      </c>
      <c r="BG37" s="9">
        <f t="shared" si="12"/>
        <v>95.682227211415437</v>
      </c>
      <c r="BH37" s="9">
        <f t="shared" si="12"/>
        <v>95.58850951359608</v>
      </c>
      <c r="BI37" s="9">
        <f t="shared" si="12"/>
        <v>95.494762172672822</v>
      </c>
      <c r="BJ37" s="9">
        <f t="shared" si="12"/>
        <v>95.400987445171893</v>
      </c>
      <c r="BK37" s="9">
        <f t="shared" si="12"/>
        <v>95.307187366554231</v>
      </c>
      <c r="BL37" s="9">
        <f t="shared" si="13"/>
        <v>95.213363777371811</v>
      </c>
      <c r="BM37" s="9">
        <f t="shared" si="13"/>
        <v>95.119518345832745</v>
      </c>
      <c r="BN37" s="9">
        <f t="shared" si="13"/>
        <v>95.025652587331805</v>
      </c>
      <c r="BO37" s="9">
        <f t="shared" si="13"/>
        <v>94.931767881407453</v>
      </c>
      <c r="BP37" s="9">
        <f t="shared" si="13"/>
        <v>94.837865486509074</v>
      </c>
      <c r="BQ37" s="9">
        <f t="shared" si="13"/>
        <v>94.743946552894542</v>
      </c>
      <c r="BR37" s="9">
        <f t="shared" si="13"/>
        <v>94.650012133926253</v>
      </c>
      <c r="BS37" s="9">
        <f t="shared" si="13"/>
        <v>94.556063195991314</v>
      </c>
      <c r="BT37" s="9">
        <f t="shared" si="13"/>
        <v>94.462100627235984</v>
      </c>
      <c r="BU37" s="9">
        <f t="shared" si="13"/>
        <v>94.368125245275223</v>
      </c>
      <c r="BV37" s="9">
        <f t="shared" si="13"/>
        <v>94.274137804014217</v>
      </c>
    </row>
    <row r="38" spans="1:74" x14ac:dyDescent="0.3">
      <c r="A38" s="1" t="str">
        <f>Data!L9</f>
        <v>BN-2604|30C/65%RH</v>
      </c>
      <c r="B38" s="1" t="str">
        <f>Data!A9</f>
        <v>BN-2604</v>
      </c>
      <c r="C38" s="1" t="str">
        <f>Data!B9</f>
        <v>30C/65%RH</v>
      </c>
      <c r="D38" s="1">
        <f>COUNT(Data!C9:K9)</f>
        <v>5</v>
      </c>
      <c r="E38" s="8">
        <f>SLOPE(Data!C9:K9,Data!$C$1:$K$1)</f>
        <v>-0.1906666666666671</v>
      </c>
      <c r="F38" s="8">
        <f>INTERCEPT(Data!C9:K9,Data!$C$1:$K$1)</f>
        <v>99.798000000000002</v>
      </c>
      <c r="G38" s="8">
        <f>RSQ(Data!C9:K9,Data!$C$1:$K$1)</f>
        <v>0.89109191332672599</v>
      </c>
      <c r="H38" s="8">
        <f>STEYX(Data!C9:K9,Data!$C$1:$K$1)</f>
        <v>0.36509359530582208</v>
      </c>
      <c r="I38" s="8">
        <f>SUMPRODUCT((Data!C9:K9&lt;&gt;"")*Data!$C$1:$K$1)/D38</f>
        <v>6</v>
      </c>
      <c r="J38" s="8">
        <f>SUMPRODUCT((Data!C9:K9&lt;&gt;"")*(Data!$C$1:$K$1-I38)^2)</f>
        <v>90</v>
      </c>
      <c r="K38" s="8">
        <f t="shared" si="6"/>
        <v>2.3533634348018233</v>
      </c>
      <c r="L38" s="1">
        <f t="shared" si="7"/>
        <v>18</v>
      </c>
      <c r="N38" s="9">
        <f t="shared" si="8"/>
        <v>99.132468154906149</v>
      </c>
      <c r="O38" s="9">
        <f t="shared" si="8"/>
        <v>99.013443092447289</v>
      </c>
      <c r="P38" s="9">
        <f t="shared" si="8"/>
        <v>98.888572440149588</v>
      </c>
      <c r="Q38" s="9">
        <f t="shared" si="8"/>
        <v>98.755397919238547</v>
      </c>
      <c r="R38" s="9">
        <f t="shared" si="8"/>
        <v>98.61053451362136</v>
      </c>
      <c r="S38" s="9">
        <f t="shared" si="8"/>
        <v>98.449892467261904</v>
      </c>
      <c r="T38" s="9">
        <f t="shared" si="8"/>
        <v>98.2697550100808</v>
      </c>
      <c r="U38" s="9">
        <f t="shared" si="8"/>
        <v>98.068559133928574</v>
      </c>
      <c r="V38" s="9">
        <f t="shared" si="8"/>
        <v>97.847867846954699</v>
      </c>
      <c r="W38" s="9">
        <f t="shared" si="8"/>
        <v>97.611397919238541</v>
      </c>
      <c r="X38" s="9">
        <f t="shared" si="9"/>
        <v>97.363239106816252</v>
      </c>
      <c r="Y38" s="9">
        <f t="shared" si="9"/>
        <v>97.106776425780623</v>
      </c>
      <c r="Z38" s="9">
        <f t="shared" si="9"/>
        <v>96.844468154906139</v>
      </c>
      <c r="AA38" s="9">
        <f t="shared" si="9"/>
        <v>96.578007110996836</v>
      </c>
      <c r="AB38" s="9">
        <f t="shared" si="9"/>
        <v>96.308543863978727</v>
      </c>
      <c r="AC38" s="9">
        <f t="shared" si="9"/>
        <v>96.036865621824873</v>
      </c>
      <c r="AD38" s="9">
        <f t="shared" si="9"/>
        <v>95.763519409847433</v>
      </c>
      <c r="AE38" s="9">
        <f t="shared" si="9"/>
        <v>95.488892618922605</v>
      </c>
      <c r="AF38" s="9">
        <f t="shared" si="9"/>
        <v>95.213265030242397</v>
      </c>
      <c r="AG38" s="9">
        <f t="shared" si="9"/>
        <v>94.936842591969565</v>
      </c>
      <c r="AH38" s="9">
        <f t="shared" si="10"/>
        <v>94.659779639459899</v>
      </c>
      <c r="AI38" s="9">
        <f t="shared" si="10"/>
        <v>94.382193757715626</v>
      </c>
      <c r="AJ38" s="9">
        <f t="shared" si="10"/>
        <v>94.104175900266071</v>
      </c>
      <c r="AK38" s="9">
        <f t="shared" si="10"/>
        <v>93.825797401426513</v>
      </c>
      <c r="AL38" s="9">
        <f t="shared" si="10"/>
        <v>93.547114919380391</v>
      </c>
      <c r="AM38" s="9">
        <f t="shared" si="10"/>
        <v>93.268173977496247</v>
      </c>
      <c r="AN38" s="9">
        <f t="shared" si="10"/>
        <v>92.989011540206874</v>
      </c>
      <c r="AO38" s="9">
        <f t="shared" si="10"/>
        <v>92.709657913385058</v>
      </c>
      <c r="AP38" s="9">
        <f t="shared" si="10"/>
        <v>92.430138164970046</v>
      </c>
      <c r="AQ38" s="9">
        <f t="shared" si="10"/>
        <v>92.150473200053213</v>
      </c>
      <c r="AR38" s="9">
        <f t="shared" si="11"/>
        <v>91.870680583790758</v>
      </c>
      <c r="AS38" s="9">
        <f t="shared" si="11"/>
        <v>91.590775178001749</v>
      </c>
      <c r="AT38" s="9">
        <f t="shared" si="11"/>
        <v>91.31076963851541</v>
      </c>
      <c r="AU38" s="9">
        <f t="shared" si="11"/>
        <v>91.030674807315734</v>
      </c>
      <c r="AV38" s="9">
        <f t="shared" si="11"/>
        <v>90.750500024400935</v>
      </c>
      <c r="AW38" s="9">
        <f t="shared" si="11"/>
        <v>90.470253377791693</v>
      </c>
      <c r="AX38" s="9">
        <f t="shared" si="11"/>
        <v>90.18994190546583</v>
      </c>
      <c r="AY38" s="9">
        <f t="shared" si="11"/>
        <v>89.909571759616142</v>
      </c>
      <c r="AZ38" s="9">
        <f t="shared" si="11"/>
        <v>89.62914834114703</v>
      </c>
      <c r="BA38" s="9">
        <f t="shared" si="11"/>
        <v>89.348676410489972</v>
      </c>
      <c r="BB38" s="9">
        <f t="shared" si="12"/>
        <v>89.068160179443723</v>
      </c>
      <c r="BC38" s="9">
        <f t="shared" si="12"/>
        <v>88.787603387710192</v>
      </c>
      <c r="BD38" s="9">
        <f t="shared" si="12"/>
        <v>88.507009367010824</v>
      </c>
      <c r="BE38" s="9">
        <f t="shared" si="12"/>
        <v>88.226381095064269</v>
      </c>
      <c r="BF38" s="9">
        <f t="shared" si="12"/>
        <v>87.94572124124204</v>
      </c>
      <c r="BG38" s="9">
        <f t="shared" si="12"/>
        <v>87.665032205357093</v>
      </c>
      <c r="BH38" s="9">
        <f t="shared" si="12"/>
        <v>87.38431615075713</v>
      </c>
      <c r="BI38" s="9">
        <f t="shared" si="12"/>
        <v>87.103575032672595</v>
      </c>
      <c r="BJ38" s="9">
        <f t="shared" si="12"/>
        <v>86.822810622592328</v>
      </c>
      <c r="BK38" s="9">
        <f t="shared" si="12"/>
        <v>86.542024529300022</v>
      </c>
      <c r="BL38" s="9">
        <f t="shared" si="13"/>
        <v>86.261218217092022</v>
      </c>
      <c r="BM38" s="9">
        <f t="shared" si="13"/>
        <v>85.980393021606261</v>
      </c>
      <c r="BN38" s="9">
        <f t="shared" si="13"/>
        <v>85.699550163619378</v>
      </c>
      <c r="BO38" s="9">
        <f t="shared" si="13"/>
        <v>85.418690761109318</v>
      </c>
      <c r="BP38" s="9">
        <f t="shared" si="13"/>
        <v>85.137815839831788</v>
      </c>
      <c r="BQ38" s="9">
        <f t="shared" si="13"/>
        <v>84.856926342619886</v>
      </c>
      <c r="BR38" s="9">
        <f t="shared" si="13"/>
        <v>84.576023137582567</v>
      </c>
      <c r="BS38" s="9">
        <f t="shared" si="13"/>
        <v>84.295107025351044</v>
      </c>
      <c r="BT38" s="9">
        <f t="shared" si="13"/>
        <v>84.014178745499194</v>
      </c>
      <c r="BU38" s="9">
        <f t="shared" si="13"/>
        <v>83.733238982245993</v>
      </c>
      <c r="BV38" s="9">
        <f t="shared" si="13"/>
        <v>83.452288369531345</v>
      </c>
    </row>
    <row r="39" spans="1:74" x14ac:dyDescent="0.3">
      <c r="A39" s="1" t="str">
        <f>Data!L10</f>
        <v>BN-2605|25C/60%RH</v>
      </c>
      <c r="B39" s="1" t="str">
        <f>Data!A10</f>
        <v>BN-2605</v>
      </c>
      <c r="C39" s="1" t="str">
        <f>Data!B10</f>
        <v>25C/60%RH</v>
      </c>
      <c r="D39" s="1">
        <f>COUNT(Data!C10:K10)</f>
        <v>7</v>
      </c>
      <c r="E39" s="8">
        <f>SLOPE(Data!C10:K10,Data!$C$1:$K$1)</f>
        <v>-0.11227544910179646</v>
      </c>
      <c r="F39" s="8">
        <f>INTERCEPT(Data!C10:K10,Data!$C$1:$K$1)</f>
        <v>99.2919760479042</v>
      </c>
      <c r="G39" s="8">
        <f>RSQ(Data!C10:K10,Data!$C$1:$K$1)</f>
        <v>0.91919668328779935</v>
      </c>
      <c r="H39" s="8">
        <f>STEYX(Data!C10:K10,Data!$C$1:$K$1)</f>
        <v>0.30850033239823582</v>
      </c>
      <c r="I39" s="8">
        <f>SUMPRODUCT((Data!C10:K10&lt;&gt;"")*Data!$C$1:$K$1)/D39</f>
        <v>10.285714285714286</v>
      </c>
      <c r="J39" s="8">
        <f>SUMPRODUCT((Data!C10:K10&lt;&gt;"")*(Data!$C$1:$K$1-I39)^2)</f>
        <v>429.42857142857144</v>
      </c>
      <c r="K39" s="8">
        <f t="shared" si="6"/>
        <v>2.0150483733330233</v>
      </c>
      <c r="L39" s="1">
        <f t="shared" si="7"/>
        <v>32</v>
      </c>
      <c r="N39" s="9">
        <f t="shared" si="8"/>
        <v>98.904147695403509</v>
      </c>
      <c r="O39" s="9">
        <f t="shared" si="8"/>
        <v>98.815285145525834</v>
      </c>
      <c r="P39" s="9">
        <f t="shared" si="8"/>
        <v>98.725392692335035</v>
      </c>
      <c r="Q39" s="9">
        <f t="shared" si="8"/>
        <v>98.634254750626525</v>
      </c>
      <c r="R39" s="9">
        <f t="shared" si="8"/>
        <v>98.541609046627116</v>
      </c>
      <c r="S39" s="9">
        <f t="shared" si="8"/>
        <v>98.44714216349908</v>
      </c>
      <c r="T39" s="9">
        <f t="shared" si="8"/>
        <v>98.350490576500334</v>
      </c>
      <c r="U39" s="9">
        <f t="shared" si="8"/>
        <v>98.251252075661185</v>
      </c>
      <c r="V39" s="9">
        <f t="shared" si="8"/>
        <v>98.149012940729861</v>
      </c>
      <c r="W39" s="9">
        <f t="shared" si="8"/>
        <v>98.043393429315273</v>
      </c>
      <c r="X39" s="9">
        <f t="shared" si="9"/>
        <v>97.934106278138998</v>
      </c>
      <c r="Y39" s="9">
        <f t="shared" si="9"/>
        <v>97.821012085019944</v>
      </c>
      <c r="Z39" s="9">
        <f t="shared" si="9"/>
        <v>97.704149724839681</v>
      </c>
      <c r="AA39" s="9">
        <f t="shared" si="9"/>
        <v>97.58372763256898</v>
      </c>
      <c r="AB39" s="9">
        <f t="shared" si="9"/>
        <v>97.460080156151903</v>
      </c>
      <c r="AC39" s="9">
        <f t="shared" si="9"/>
        <v>97.333608253387609</v>
      </c>
      <c r="AD39" s="9">
        <f t="shared" si="9"/>
        <v>97.204725222313741</v>
      </c>
      <c r="AE39" s="9">
        <f t="shared" si="9"/>
        <v>97.073818990915413</v>
      </c>
      <c r="AF39" s="9">
        <f t="shared" si="9"/>
        <v>96.941232274753204</v>
      </c>
      <c r="AG39" s="9">
        <f t="shared" si="9"/>
        <v>96.807256282738862</v>
      </c>
      <c r="AH39" s="9">
        <f t="shared" si="10"/>
        <v>96.672132550042903</v>
      </c>
      <c r="AI39" s="9">
        <f t="shared" si="10"/>
        <v>96.536058629248814</v>
      </c>
      <c r="AJ39" s="9">
        <f t="shared" si="10"/>
        <v>96.399194971741565</v>
      </c>
      <c r="AK39" s="9">
        <f t="shared" si="10"/>
        <v>96.261671600277907</v>
      </c>
      <c r="AL39" s="9">
        <f t="shared" si="10"/>
        <v>96.123593974306161</v>
      </c>
      <c r="AM39" s="9">
        <f t="shared" si="10"/>
        <v>95.985047885107932</v>
      </c>
      <c r="AN39" s="9">
        <f t="shared" si="10"/>
        <v>95.846103424315544</v>
      </c>
      <c r="AO39" s="9">
        <f t="shared" si="10"/>
        <v>95.706818149592053</v>
      </c>
      <c r="AP39" s="9">
        <f t="shared" si="10"/>
        <v>95.567239588837552</v>
      </c>
      <c r="AQ39" s="9">
        <f t="shared" si="10"/>
        <v>95.427407214352712</v>
      </c>
      <c r="AR39" s="9">
        <f t="shared" si="11"/>
        <v>95.287353998796803</v>
      </c>
      <c r="AS39" s="9">
        <f t="shared" si="11"/>
        <v>95.147107643832769</v>
      </c>
      <c r="AT39" s="9">
        <f t="shared" si="11"/>
        <v>95.006691553472095</v>
      </c>
      <c r="AU39" s="9">
        <f t="shared" si="11"/>
        <v>94.8661256083669</v>
      </c>
      <c r="AV39" s="9">
        <f t="shared" si="11"/>
        <v>94.725426784655397</v>
      </c>
      <c r="AW39" s="9">
        <f t="shared" si="11"/>
        <v>94.584609651059466</v>
      </c>
      <c r="AX39" s="9">
        <f t="shared" si="11"/>
        <v>94.443686770263994</v>
      </c>
      <c r="AY39" s="9">
        <f t="shared" si="11"/>
        <v>94.302669024714362</v>
      </c>
      <c r="AZ39" s="9">
        <f t="shared" si="11"/>
        <v>94.161565882450589</v>
      </c>
      <c r="BA39" s="9">
        <f t="shared" si="11"/>
        <v>94.02038561513514</v>
      </c>
      <c r="BB39" s="9">
        <f t="shared" si="12"/>
        <v>93.879135477776117</v>
      </c>
      <c r="BC39" s="9">
        <f t="shared" si="12"/>
        <v>93.737821857604899</v>
      </c>
      <c r="BD39" s="9">
        <f t="shared" si="12"/>
        <v>93.59645039799112</v>
      </c>
      <c r="BE39" s="9">
        <f t="shared" si="12"/>
        <v>93.455026102056706</v>
      </c>
      <c r="BF39" s="9">
        <f t="shared" si="12"/>
        <v>93.313553419701336</v>
      </c>
      <c r="BG39" s="9">
        <f t="shared" si="12"/>
        <v>93.172036321008591</v>
      </c>
      <c r="BH39" s="9">
        <f t="shared" si="12"/>
        <v>93.030478358420652</v>
      </c>
      <c r="BI39" s="9">
        <f t="shared" si="12"/>
        <v>92.888882719609185</v>
      </c>
      <c r="BJ39" s="9">
        <f t="shared" si="12"/>
        <v>92.747252272606758</v>
      </c>
      <c r="BK39" s="9">
        <f t="shared" si="12"/>
        <v>92.605589604473082</v>
      </c>
      <c r="BL39" s="9">
        <f t="shared" si="13"/>
        <v>92.463897054539743</v>
      </c>
      <c r="BM39" s="9">
        <f t="shared" si="13"/>
        <v>92.322176743090125</v>
      </c>
      <c r="BN39" s="9">
        <f t="shared" si="13"/>
        <v>92.180430596182731</v>
      </c>
      <c r="BO39" s="9">
        <f t="shared" si="13"/>
        <v>92.038660367203462</v>
      </c>
      <c r="BP39" s="9">
        <f t="shared" si="13"/>
        <v>91.896867655634594</v>
      </c>
      <c r="BQ39" s="9">
        <f t="shared" si="13"/>
        <v>91.755053923447605</v>
      </c>
      <c r="BR39" s="9">
        <f t="shared" si="13"/>
        <v>91.613220509460405</v>
      </c>
      <c r="BS39" s="9">
        <f t="shared" si="13"/>
        <v>91.471368641945702</v>
      </c>
      <c r="BT39" s="9">
        <f t="shared" si="13"/>
        <v>91.329499449732552</v>
      </c>
      <c r="BU39" s="9">
        <f t="shared" si="13"/>
        <v>91.187613972005138</v>
      </c>
      <c r="BV39" s="9">
        <f t="shared" si="13"/>
        <v>91.045713166972831</v>
      </c>
    </row>
    <row r="40" spans="1:74" x14ac:dyDescent="0.3">
      <c r="A40" s="1" t="str">
        <f>Data!L11</f>
        <v>BN-2605|30C/65%RH</v>
      </c>
      <c r="B40" s="1" t="str">
        <f>Data!A11</f>
        <v>BN-2605</v>
      </c>
      <c r="C40" s="1" t="str">
        <f>Data!B11</f>
        <v>30C/65%RH</v>
      </c>
      <c r="D40" s="1">
        <f>COUNT(Data!C11:K11)</f>
        <v>5</v>
      </c>
      <c r="E40" s="8">
        <f>SLOPE(Data!C11:K11,Data!$C$1:$K$1)</f>
        <v>-0.22266666666666596</v>
      </c>
      <c r="F40" s="8">
        <f>INTERCEPT(Data!C11:K11,Data!$C$1:$K$1)</f>
        <v>99.16</v>
      </c>
      <c r="G40" s="8">
        <f>RSQ(Data!C11:K11,Data!$C$1:$K$1)</f>
        <v>0.95778420749873416</v>
      </c>
      <c r="H40" s="8">
        <f>STEYX(Data!C11:K11,Data!$C$1:$K$1)</f>
        <v>0.25604687070924814</v>
      </c>
      <c r="I40" s="8">
        <f>SUMPRODUCT((Data!C11:K11&lt;&gt;"")*Data!$C$1:$K$1)/D40</f>
        <v>6</v>
      </c>
      <c r="J40" s="8">
        <f>SUMPRODUCT((Data!C11:K11&lt;&gt;"")*(Data!$C$1:$K$1-I40)^2)</f>
        <v>90</v>
      </c>
      <c r="K40" s="8">
        <f t="shared" si="6"/>
        <v>2.3533634348018233</v>
      </c>
      <c r="L40" s="1">
        <f t="shared" si="7"/>
        <v>15</v>
      </c>
      <c r="N40" s="9">
        <f t="shared" si="8"/>
        <v>98.693250244636886</v>
      </c>
      <c r="O40" s="9">
        <f t="shared" si="8"/>
        <v>98.520827156071419</v>
      </c>
      <c r="P40" s="9">
        <f t="shared" si="8"/>
        <v>98.344304447559381</v>
      </c>
      <c r="Q40" s="9">
        <f t="shared" si="8"/>
        <v>98.161958082865581</v>
      </c>
      <c r="R40" s="9">
        <f t="shared" si="8"/>
        <v>97.971414087784481</v>
      </c>
      <c r="S40" s="9">
        <f t="shared" si="8"/>
        <v>97.769804240992869</v>
      </c>
      <c r="T40" s="9">
        <f t="shared" si="8"/>
        <v>97.554521903096912</v>
      </c>
      <c r="U40" s="9">
        <f t="shared" si="8"/>
        <v>97.324470907659531</v>
      </c>
      <c r="V40" s="9">
        <f t="shared" si="8"/>
        <v>97.08074742111782</v>
      </c>
      <c r="W40" s="9">
        <f t="shared" si="8"/>
        <v>96.825958082865583</v>
      </c>
      <c r="X40" s="9">
        <f t="shared" si="9"/>
        <v>96.562971114226059</v>
      </c>
      <c r="Y40" s="9">
        <f t="shared" si="9"/>
        <v>96.29416048940476</v>
      </c>
      <c r="Z40" s="9">
        <f t="shared" si="9"/>
        <v>96.021250244636889</v>
      </c>
      <c r="AA40" s="9">
        <f t="shared" si="9"/>
        <v>95.745427583562602</v>
      </c>
      <c r="AB40" s="9">
        <f t="shared" si="9"/>
        <v>95.467499422087542</v>
      </c>
      <c r="AC40" s="9">
        <f t="shared" si="9"/>
        <v>95.188017843679276</v>
      </c>
      <c r="AD40" s="9">
        <f t="shared" si="9"/>
        <v>94.907366487276391</v>
      </c>
      <c r="AE40" s="9">
        <f t="shared" si="9"/>
        <v>94.625817037243849</v>
      </c>
      <c r="AF40" s="9">
        <f t="shared" si="9"/>
        <v>94.343565709290758</v>
      </c>
      <c r="AG40" s="9">
        <f t="shared" si="9"/>
        <v>94.060756938661356</v>
      </c>
      <c r="AH40" s="9">
        <f t="shared" si="10"/>
        <v>93.777498963586567</v>
      </c>
      <c r="AI40" s="9">
        <f t="shared" si="10"/>
        <v>93.493874248596754</v>
      </c>
      <c r="AJ40" s="9">
        <f t="shared" si="10"/>
        <v>93.209946581079194</v>
      </c>
      <c r="AK40" s="9">
        <f t="shared" si="10"/>
        <v>92.925765989104619</v>
      </c>
      <c r="AL40" s="9">
        <f t="shared" si="10"/>
        <v>92.641372208101799</v>
      </c>
      <c r="AM40" s="9">
        <f t="shared" si="10"/>
        <v>92.356797164448608</v>
      </c>
      <c r="AN40" s="9">
        <f t="shared" si="10"/>
        <v>92.072066781983338</v>
      </c>
      <c r="AO40" s="9">
        <f t="shared" si="10"/>
        <v>91.787202314773452</v>
      </c>
      <c r="AP40" s="9">
        <f t="shared" si="10"/>
        <v>91.502221343426982</v>
      </c>
      <c r="AQ40" s="9">
        <f t="shared" si="10"/>
        <v>91.21713852906997</v>
      </c>
      <c r="AR40" s="9">
        <f t="shared" si="11"/>
        <v>90.931966190470405</v>
      </c>
      <c r="AS40" s="9">
        <f t="shared" si="11"/>
        <v>90.646714750496017</v>
      </c>
      <c r="AT40" s="9">
        <f t="shared" si="11"/>
        <v>90.361393084913217</v>
      </c>
      <c r="AU40" s="9">
        <f t="shared" si="11"/>
        <v>90.07600879740535</v>
      </c>
      <c r="AV40" s="9">
        <f t="shared" si="11"/>
        <v>89.790568438285334</v>
      </c>
      <c r="AW40" s="9">
        <f t="shared" si="11"/>
        <v>89.505077679831231</v>
      </c>
      <c r="AX40" s="9">
        <f t="shared" si="11"/>
        <v>89.219541457906701</v>
      </c>
      <c r="AY40" s="9">
        <f t="shared" si="11"/>
        <v>88.933964087157946</v>
      </c>
      <c r="AZ40" s="9">
        <f t="shared" si="11"/>
        <v>88.648349355338866</v>
      </c>
      <c r="BA40" s="9">
        <f t="shared" si="11"/>
        <v>88.362700601027825</v>
      </c>
      <c r="BB40" s="9">
        <f t="shared" si="12"/>
        <v>88.077020778036911</v>
      </c>
      <c r="BC40" s="9">
        <f t="shared" si="12"/>
        <v>87.791312509088087</v>
      </c>
      <c r="BD40" s="9">
        <f t="shared" si="12"/>
        <v>87.505578130779014</v>
      </c>
      <c r="BE40" s="9">
        <f t="shared" si="12"/>
        <v>87.219819731438704</v>
      </c>
      <c r="BF40" s="9">
        <f t="shared" si="12"/>
        <v>86.934039183146609</v>
      </c>
      <c r="BG40" s="9">
        <f t="shared" si="12"/>
        <v>86.648238168935819</v>
      </c>
      <c r="BH40" s="9">
        <f t="shared" si="12"/>
        <v>86.362418206001962</v>
      </c>
      <c r="BI40" s="9">
        <f t="shared" si="12"/>
        <v>86.076580665584203</v>
      </c>
      <c r="BJ40" s="9">
        <f t="shared" si="12"/>
        <v>85.790726790060333</v>
      </c>
      <c r="BK40" s="9">
        <f t="shared" si="12"/>
        <v>85.504857707700026</v>
      </c>
      <c r="BL40" s="9">
        <f t="shared" si="13"/>
        <v>85.21897444544129</v>
      </c>
      <c r="BM40" s="9">
        <f t="shared" si="13"/>
        <v>84.933077939991648</v>
      </c>
      <c r="BN40" s="9">
        <f t="shared" si="13"/>
        <v>84.647169047504306</v>
      </c>
      <c r="BO40" s="9">
        <f t="shared" si="13"/>
        <v>84.36124855203775</v>
      </c>
      <c r="BP40" s="9">
        <f t="shared" si="13"/>
        <v>84.075317172973428</v>
      </c>
      <c r="BQ40" s="9">
        <f t="shared" si="13"/>
        <v>83.789375571537533</v>
      </c>
      <c r="BR40" s="9">
        <f t="shared" si="13"/>
        <v>83.503424356550909</v>
      </c>
      <c r="BS40" s="9">
        <f t="shared" si="13"/>
        <v>83.217464089510955</v>
      </c>
      <c r="BT40" s="9">
        <f t="shared" si="13"/>
        <v>82.931495289094542</v>
      </c>
      <c r="BU40" s="9">
        <f t="shared" si="13"/>
        <v>82.645518435156973</v>
      </c>
      <c r="BV40" s="9">
        <f t="shared" si="13"/>
        <v>82.359533972292027</v>
      </c>
    </row>
    <row r="44" spans="1:74" x14ac:dyDescent="0.3">
      <c r="A44" s="7" t="s">
        <v>0</v>
      </c>
      <c r="B44" s="7" t="s">
        <v>32</v>
      </c>
      <c r="C44" s="7" t="s">
        <v>33</v>
      </c>
    </row>
    <row r="45" spans="1:74" x14ac:dyDescent="0.3">
      <c r="A45" s="1" t="s">
        <v>3</v>
      </c>
      <c r="B45" s="1">
        <f t="shared" ref="B45:B49" si="14">INDEX($L$31:$L$40,MATCH($A45&amp;"|"&amp;$B$4,$A$31:$A$40,0))</f>
        <v>57</v>
      </c>
      <c r="C45" s="1">
        <f t="shared" ref="C45:C49" si="15">$B$6</f>
        <v>36</v>
      </c>
    </row>
    <row r="46" spans="1:74" x14ac:dyDescent="0.3">
      <c r="A46" s="1" t="s">
        <v>6</v>
      </c>
      <c r="B46" s="1">
        <f t="shared" si="14"/>
        <v>60</v>
      </c>
      <c r="C46" s="1">
        <f t="shared" si="15"/>
        <v>36</v>
      </c>
    </row>
    <row r="47" spans="1:74" x14ac:dyDescent="0.3">
      <c r="A47" s="1" t="s">
        <v>7</v>
      </c>
      <c r="B47" s="1">
        <f t="shared" si="14"/>
        <v>55</v>
      </c>
      <c r="C47" s="1">
        <f t="shared" si="15"/>
        <v>36</v>
      </c>
    </row>
    <row r="48" spans="1:74" x14ac:dyDescent="0.3">
      <c r="A48" s="1" t="s">
        <v>8</v>
      </c>
      <c r="B48" s="1">
        <f t="shared" si="14"/>
        <v>52</v>
      </c>
      <c r="C48" s="1">
        <f t="shared" si="15"/>
        <v>36</v>
      </c>
    </row>
    <row r="49" spans="1:3" x14ac:dyDescent="0.3">
      <c r="A49" s="1" t="s">
        <v>9</v>
      </c>
      <c r="B49" s="1">
        <f t="shared" si="14"/>
        <v>32</v>
      </c>
      <c r="C49" s="1">
        <f t="shared" si="15"/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C530-779D-48CF-B16A-D8F6E8C58C70}">
  <dimension ref="A1:N11"/>
  <sheetViews>
    <sheetView workbookViewId="0"/>
  </sheetViews>
  <sheetFormatPr defaultRowHeight="14" x14ac:dyDescent="0.3"/>
  <cols>
    <col min="1" max="12" width="12.6328125" style="1" customWidth="1"/>
    <col min="13" max="16384" width="8.7265625" style="1"/>
  </cols>
  <sheetData>
    <row r="1" spans="1:14" ht="14.5" x14ac:dyDescent="0.35">
      <c r="A1" s="3" t="s">
        <v>0</v>
      </c>
      <c r="B1" s="3" t="s">
        <v>1</v>
      </c>
      <c r="C1" s="4">
        <v>0</v>
      </c>
      <c r="D1" s="4">
        <v>1</v>
      </c>
      <c r="E1" s="4">
        <v>2</v>
      </c>
      <c r="F1" s="4">
        <v>3</v>
      </c>
      <c r="G1" s="4">
        <v>6</v>
      </c>
      <c r="H1" s="4">
        <v>9</v>
      </c>
      <c r="I1" s="4">
        <v>12</v>
      </c>
      <c r="J1" s="4">
        <v>18</v>
      </c>
      <c r="K1" s="4">
        <v>24</v>
      </c>
      <c r="L1" s="3" t="s">
        <v>2</v>
      </c>
      <c r="N1" s="5" t="s">
        <v>10</v>
      </c>
    </row>
    <row r="2" spans="1:14" ht="14.5" x14ac:dyDescent="0.35">
      <c r="A2" t="s">
        <v>3</v>
      </c>
      <c r="B2" t="s">
        <v>4</v>
      </c>
      <c r="C2" s="2">
        <v>100.45</v>
      </c>
      <c r="D2" s="2"/>
      <c r="E2" s="2"/>
      <c r="F2" s="2">
        <v>100.24</v>
      </c>
      <c r="G2" s="2">
        <v>99.86</v>
      </c>
      <c r="H2" s="2">
        <v>99.3</v>
      </c>
      <c r="I2" s="2">
        <v>99.52</v>
      </c>
      <c r="J2" s="2">
        <v>98.83</v>
      </c>
      <c r="K2" s="2">
        <v>98.72</v>
      </c>
      <c r="L2" t="str">
        <f t="shared" ref="L2:L11" si="0">A2&amp;"|"&amp;B2</f>
        <v>BN-2601|25C/60%RH</v>
      </c>
      <c r="N2" s="5" t="s">
        <v>11</v>
      </c>
    </row>
    <row r="3" spans="1:14" ht="14.5" x14ac:dyDescent="0.35">
      <c r="A3" t="s">
        <v>3</v>
      </c>
      <c r="B3" t="s">
        <v>5</v>
      </c>
      <c r="C3" s="2">
        <v>100.16</v>
      </c>
      <c r="D3" s="2"/>
      <c r="E3" s="2"/>
      <c r="F3" s="2">
        <v>99.71</v>
      </c>
      <c r="G3" s="2">
        <v>99.36</v>
      </c>
      <c r="H3" s="2">
        <v>99.09</v>
      </c>
      <c r="I3" s="2">
        <v>98.57</v>
      </c>
      <c r="J3" s="2"/>
      <c r="K3" s="2"/>
      <c r="L3" t="str">
        <f t="shared" si="0"/>
        <v>BN-2601|30C/65%RH</v>
      </c>
    </row>
    <row r="4" spans="1:14" ht="14.5" x14ac:dyDescent="0.35">
      <c r="A4" t="s">
        <v>6</v>
      </c>
      <c r="B4" t="s">
        <v>4</v>
      </c>
      <c r="C4" s="2">
        <v>100.64</v>
      </c>
      <c r="D4" s="2"/>
      <c r="E4" s="2"/>
      <c r="F4" s="2">
        <v>100.55</v>
      </c>
      <c r="G4" s="2">
        <v>100.28</v>
      </c>
      <c r="H4" s="2">
        <v>100.02</v>
      </c>
      <c r="I4" s="2">
        <v>100.07</v>
      </c>
      <c r="J4" s="2">
        <v>99.48</v>
      </c>
      <c r="K4" s="2">
        <v>98.83</v>
      </c>
      <c r="L4" t="str">
        <f t="shared" si="0"/>
        <v>BN-2602|25C/60%RH</v>
      </c>
    </row>
    <row r="5" spans="1:14" ht="14.5" x14ac:dyDescent="0.35">
      <c r="A5" t="s">
        <v>6</v>
      </c>
      <c r="B5" t="s">
        <v>5</v>
      </c>
      <c r="C5" s="2">
        <v>100.47</v>
      </c>
      <c r="D5" s="2"/>
      <c r="E5" s="2"/>
      <c r="F5" s="2">
        <v>100.36</v>
      </c>
      <c r="G5" s="2">
        <v>99.99</v>
      </c>
      <c r="H5" s="2">
        <v>99.6</v>
      </c>
      <c r="I5" s="2">
        <v>99.34</v>
      </c>
      <c r="J5" s="2"/>
      <c r="K5" s="2"/>
      <c r="L5" t="str">
        <f t="shared" si="0"/>
        <v>BN-2602|30C/65%RH</v>
      </c>
    </row>
    <row r="6" spans="1:14" ht="14.5" x14ac:dyDescent="0.35">
      <c r="A6" t="s">
        <v>7</v>
      </c>
      <c r="B6" t="s">
        <v>4</v>
      </c>
      <c r="C6" s="2">
        <v>99.98</v>
      </c>
      <c r="D6" s="2"/>
      <c r="E6" s="2"/>
      <c r="F6" s="2">
        <v>100.15</v>
      </c>
      <c r="G6" s="2">
        <v>99.47</v>
      </c>
      <c r="H6" s="2">
        <v>99.28</v>
      </c>
      <c r="I6" s="2">
        <v>99.43</v>
      </c>
      <c r="J6" s="2">
        <v>98.79</v>
      </c>
      <c r="K6" s="2">
        <v>98.23</v>
      </c>
      <c r="L6" t="str">
        <f t="shared" si="0"/>
        <v>BN-2603|25C/60%RH</v>
      </c>
    </row>
    <row r="7" spans="1:14" ht="14.5" x14ac:dyDescent="0.35">
      <c r="A7" t="s">
        <v>7</v>
      </c>
      <c r="B7" t="s">
        <v>5</v>
      </c>
      <c r="C7" s="2">
        <v>99.79</v>
      </c>
      <c r="D7" s="2"/>
      <c r="E7" s="2"/>
      <c r="F7" s="2">
        <v>99.51</v>
      </c>
      <c r="G7" s="2">
        <v>99.26</v>
      </c>
      <c r="H7" s="2">
        <v>98.22</v>
      </c>
      <c r="I7" s="2">
        <v>98.42</v>
      </c>
      <c r="J7" s="2"/>
      <c r="K7" s="2"/>
      <c r="L7" t="str">
        <f t="shared" si="0"/>
        <v>BN-2603|30C/65%RH</v>
      </c>
    </row>
    <row r="8" spans="1:14" ht="14.5" x14ac:dyDescent="0.35">
      <c r="A8" t="s">
        <v>8</v>
      </c>
      <c r="B8" t="s">
        <v>4</v>
      </c>
      <c r="C8" s="2">
        <v>99.39</v>
      </c>
      <c r="D8" s="2"/>
      <c r="E8" s="2"/>
      <c r="F8" s="2">
        <v>99.88</v>
      </c>
      <c r="G8" s="2">
        <v>99.15</v>
      </c>
      <c r="H8" s="2">
        <v>99.06</v>
      </c>
      <c r="I8" s="2">
        <v>99</v>
      </c>
      <c r="J8" s="2">
        <v>98.43</v>
      </c>
      <c r="K8" s="2">
        <v>97.92</v>
      </c>
      <c r="L8" t="str">
        <f t="shared" si="0"/>
        <v>BN-2604|25C/60%RH</v>
      </c>
    </row>
    <row r="9" spans="1:14" ht="14.5" x14ac:dyDescent="0.35">
      <c r="A9" t="s">
        <v>8</v>
      </c>
      <c r="B9" t="s">
        <v>5</v>
      </c>
      <c r="C9" s="2">
        <v>99.89</v>
      </c>
      <c r="D9" s="2"/>
      <c r="E9" s="2"/>
      <c r="F9" s="2">
        <v>98.93</v>
      </c>
      <c r="G9" s="2">
        <v>98.68</v>
      </c>
      <c r="H9" s="2">
        <v>98.55</v>
      </c>
      <c r="I9" s="2">
        <v>97.22</v>
      </c>
      <c r="J9" s="2"/>
      <c r="K9" s="2"/>
      <c r="L9" t="str">
        <f t="shared" si="0"/>
        <v>BN-2604|30C/65%RH</v>
      </c>
    </row>
    <row r="10" spans="1:14" ht="14.5" x14ac:dyDescent="0.35">
      <c r="A10" t="s">
        <v>9</v>
      </c>
      <c r="B10" t="s">
        <v>4</v>
      </c>
      <c r="C10" s="2">
        <v>99.4</v>
      </c>
      <c r="D10" s="2"/>
      <c r="E10" s="2"/>
      <c r="F10" s="2">
        <v>98.85</v>
      </c>
      <c r="G10" s="2">
        <v>98.97</v>
      </c>
      <c r="H10" s="2">
        <v>98.09</v>
      </c>
      <c r="I10" s="2">
        <v>97.82</v>
      </c>
      <c r="J10" s="2">
        <v>96.88</v>
      </c>
      <c r="K10" s="2">
        <v>96.95</v>
      </c>
      <c r="L10" t="str">
        <f t="shared" si="0"/>
        <v>BN-2605|25C/60%RH</v>
      </c>
    </row>
    <row r="11" spans="1:14" ht="14.5" x14ac:dyDescent="0.35">
      <c r="A11" t="s">
        <v>9</v>
      </c>
      <c r="B11" t="s">
        <v>5</v>
      </c>
      <c r="C11" s="2">
        <v>99.07</v>
      </c>
      <c r="D11" s="2"/>
      <c r="E11" s="2"/>
      <c r="F11" s="2">
        <v>98.36</v>
      </c>
      <c r="G11" s="2">
        <v>98.21</v>
      </c>
      <c r="H11" s="2">
        <v>97.14</v>
      </c>
      <c r="I11" s="2">
        <v>96.34</v>
      </c>
      <c r="J11" s="2"/>
      <c r="K11" s="2"/>
      <c r="L11" t="str">
        <f t="shared" si="0"/>
        <v>BN-2605|30C/65%RH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Calc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2026-10-08T17:09:51Z</dcterms:created>
  <dcterms:modified xsi:type="dcterms:W3CDTF">2026-10-08T17:10:41Z</dcterms:modified>
</cp:coreProperties>
</file>