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5851d3c51313d/Desktop/Job Search/Dashboards/"/>
    </mc:Choice>
  </mc:AlternateContent>
  <xr:revisionPtr revIDLastSave="1" documentId="8_{576C3A9C-D455-4503-90E0-1F614BD676B9}" xr6:coauthVersionLast="47" xr6:coauthVersionMax="47" xr10:uidLastSave="{EE34B047-EEA4-4C9C-BDAF-4FE996F66C42}"/>
  <bookViews>
    <workbookView xWindow="-110" yWindow="-110" windowWidth="19420" windowHeight="10300" xr2:uid="{DA308676-26C1-491C-8648-BAB44D88877A}"/>
  </bookViews>
  <sheets>
    <sheet name="Dashboard" sheetId="5" r:id="rId1"/>
    <sheet name="Deviation" sheetId="1" r:id="rId2"/>
    <sheet name="CAPA" sheetId="2" r:id="rId3"/>
    <sheet name="Documents" sheetId="3" r:id="rId4"/>
    <sheet name="Batch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5" l="1"/>
  <c r="B43" i="5"/>
  <c r="B42" i="5"/>
  <c r="B41" i="5"/>
  <c r="Q5" i="5"/>
  <c r="N5" i="5"/>
  <c r="K5" i="5"/>
  <c r="H5" i="5"/>
  <c r="E5" i="5"/>
  <c r="B5" i="5"/>
  <c r="AJ6" i="5"/>
  <c r="AJ5" i="5"/>
  <c r="AJ4" i="5"/>
  <c r="AJ3" i="5"/>
  <c r="AJ2" i="5"/>
  <c r="AG5" i="5"/>
  <c r="AG4" i="5"/>
  <c r="AG3" i="5"/>
  <c r="AG2" i="5"/>
  <c r="AD4" i="5"/>
  <c r="AD3" i="5"/>
  <c r="AD2" i="5"/>
  <c r="AA7" i="5"/>
  <c r="AA6" i="5"/>
  <c r="AA5" i="5"/>
  <c r="AA4" i="5"/>
  <c r="AA3" i="5"/>
  <c r="AA2" i="5"/>
  <c r="X13" i="5"/>
  <c r="W13" i="5"/>
  <c r="X12" i="5"/>
  <c r="W12" i="5"/>
  <c r="X11" i="5"/>
  <c r="W11" i="5"/>
  <c r="X10" i="5"/>
  <c r="W10" i="5"/>
  <c r="X9" i="5"/>
  <c r="W9" i="5"/>
  <c r="X8" i="5"/>
  <c r="W8" i="5"/>
  <c r="X7" i="5"/>
  <c r="W7" i="5"/>
  <c r="X6" i="5"/>
  <c r="W6" i="5"/>
  <c r="X5" i="5"/>
  <c r="W5" i="5"/>
  <c r="X4" i="5"/>
  <c r="W4" i="5"/>
  <c r="X3" i="5"/>
  <c r="W3" i="5"/>
  <c r="X2" i="5"/>
  <c r="W2" i="5"/>
</calcChain>
</file>

<file path=xl/sharedStrings.xml><?xml version="1.0" encoding="utf-8"?>
<sst xmlns="http://schemas.openxmlformats.org/spreadsheetml/2006/main" count="3786" uniqueCount="725">
  <si>
    <t>Record_ID</t>
  </si>
  <si>
    <t>Date</t>
  </si>
  <si>
    <t>Dept</t>
  </si>
  <si>
    <t>Type</t>
  </si>
  <si>
    <t>Severity</t>
  </si>
  <si>
    <t>Root_Cause</t>
  </si>
  <si>
    <t>Status</t>
  </si>
  <si>
    <t>Days_Open</t>
  </si>
  <si>
    <t>Closed_On_Time</t>
  </si>
  <si>
    <t>DEV-1001</t>
  </si>
  <si>
    <t>QA</t>
  </si>
  <si>
    <t>Deviation</t>
  </si>
  <si>
    <t>Minor</t>
  </si>
  <si>
    <t>Human error</t>
  </si>
  <si>
    <t>Open</t>
  </si>
  <si>
    <t>NA</t>
  </si>
  <si>
    <t>DEV-1002</t>
  </si>
  <si>
    <t>Warehouse</t>
  </si>
  <si>
    <t>Equipment</t>
  </si>
  <si>
    <t>Closed</t>
  </si>
  <si>
    <t>No</t>
  </si>
  <si>
    <t>DEV-1003</t>
  </si>
  <si>
    <t>Major</t>
  </si>
  <si>
    <t>Overdue</t>
  </si>
  <si>
    <t>DEV-1004</t>
  </si>
  <si>
    <t>OOT</t>
  </si>
  <si>
    <t>Documentation</t>
  </si>
  <si>
    <t>DEV-1005</t>
  </si>
  <si>
    <t>Engineering</t>
  </si>
  <si>
    <t>DEV-1006</t>
  </si>
  <si>
    <t>QC</t>
  </si>
  <si>
    <t>Process</t>
  </si>
  <si>
    <t>DEV-1007</t>
  </si>
  <si>
    <t>DEV-1008</t>
  </si>
  <si>
    <t>Packing</t>
  </si>
  <si>
    <t>OOS</t>
  </si>
  <si>
    <t>DEV-1009</t>
  </si>
  <si>
    <t>Yes</t>
  </si>
  <si>
    <t>DEV-1010</t>
  </si>
  <si>
    <t>Critical</t>
  </si>
  <si>
    <t>DEV-1011</t>
  </si>
  <si>
    <t>DEV-1012</t>
  </si>
  <si>
    <t>DEV-1013</t>
  </si>
  <si>
    <t>DEV-1014</t>
  </si>
  <si>
    <t>Material</t>
  </si>
  <si>
    <t>DEV-1015</t>
  </si>
  <si>
    <t>Production</t>
  </si>
  <si>
    <t>DEV-1016</t>
  </si>
  <si>
    <t>DEV-1017</t>
  </si>
  <si>
    <t>DEV-1018</t>
  </si>
  <si>
    <t>DEV-1019</t>
  </si>
  <si>
    <t>DEV-1020</t>
  </si>
  <si>
    <t>DEV-1021</t>
  </si>
  <si>
    <t>DEV-1022</t>
  </si>
  <si>
    <t>DEV-1023</t>
  </si>
  <si>
    <t>DEV-1024</t>
  </si>
  <si>
    <t>DEV-1025</t>
  </si>
  <si>
    <t>DEV-1026</t>
  </si>
  <si>
    <t>DEV-1027</t>
  </si>
  <si>
    <t>DEV-1028</t>
  </si>
  <si>
    <t>DEV-1029</t>
  </si>
  <si>
    <t>DEV-1030</t>
  </si>
  <si>
    <t>DEV-1031</t>
  </si>
  <si>
    <t>DEV-1032</t>
  </si>
  <si>
    <t>DEV-1033</t>
  </si>
  <si>
    <t>DEV-1034</t>
  </si>
  <si>
    <t>DEV-1035</t>
  </si>
  <si>
    <t>DEV-1036</t>
  </si>
  <si>
    <t>DEV-1037</t>
  </si>
  <si>
    <t>DEV-1038</t>
  </si>
  <si>
    <t>DEV-1039</t>
  </si>
  <si>
    <t>DEV-1040</t>
  </si>
  <si>
    <t>DEV-1041</t>
  </si>
  <si>
    <t>DEV-1042</t>
  </si>
  <si>
    <t>DEV-1043</t>
  </si>
  <si>
    <t>DEV-1044</t>
  </si>
  <si>
    <t>DEV-1045</t>
  </si>
  <si>
    <t>DEV-1046</t>
  </si>
  <si>
    <t>DEV-1047</t>
  </si>
  <si>
    <t>DEV-1048</t>
  </si>
  <si>
    <t>DEV-1049</t>
  </si>
  <si>
    <t>DEV-1050</t>
  </si>
  <si>
    <t>DEV-1051</t>
  </si>
  <si>
    <t>DEV-1052</t>
  </si>
  <si>
    <t>DEV-1053</t>
  </si>
  <si>
    <t>DEV-1054</t>
  </si>
  <si>
    <t>DEV-1055</t>
  </si>
  <si>
    <t>DEV-1056</t>
  </si>
  <si>
    <t>DEV-1057</t>
  </si>
  <si>
    <t>DEV-1058</t>
  </si>
  <si>
    <t>DEV-1059</t>
  </si>
  <si>
    <t>DEV-1060</t>
  </si>
  <si>
    <t>DEV-1061</t>
  </si>
  <si>
    <t>DEV-1062</t>
  </si>
  <si>
    <t>DEV-1063</t>
  </si>
  <si>
    <t>DEV-1064</t>
  </si>
  <si>
    <t>DEV-1065</t>
  </si>
  <si>
    <t>DEV-1066</t>
  </si>
  <si>
    <t>DEV-1067</t>
  </si>
  <si>
    <t>DEV-1068</t>
  </si>
  <si>
    <t>DEV-1069</t>
  </si>
  <si>
    <t>DEV-1070</t>
  </si>
  <si>
    <t>DEV-1071</t>
  </si>
  <si>
    <t>DEV-1072</t>
  </si>
  <si>
    <t>DEV-1073</t>
  </si>
  <si>
    <t>DEV-1074</t>
  </si>
  <si>
    <t>DEV-1075</t>
  </si>
  <si>
    <t>DEV-1076</t>
  </si>
  <si>
    <t>DEV-1077</t>
  </si>
  <si>
    <t>DEV-1078</t>
  </si>
  <si>
    <t>DEV-1079</t>
  </si>
  <si>
    <t>DEV-1080</t>
  </si>
  <si>
    <t>DEV-1081</t>
  </si>
  <si>
    <t>DEV-1082</t>
  </si>
  <si>
    <t>DEV-1083</t>
  </si>
  <si>
    <t>DEV-1084</t>
  </si>
  <si>
    <t>DEV-1085</t>
  </si>
  <si>
    <t>DEV-1086</t>
  </si>
  <si>
    <t>DEV-1087</t>
  </si>
  <si>
    <t>DEV-1088</t>
  </si>
  <si>
    <t>DEV-1089</t>
  </si>
  <si>
    <t>DEV-1090</t>
  </si>
  <si>
    <t>DEV-1091</t>
  </si>
  <si>
    <t>DEV-1092</t>
  </si>
  <si>
    <t>DEV-1093</t>
  </si>
  <si>
    <t>DEV-1094</t>
  </si>
  <si>
    <t>DEV-1095</t>
  </si>
  <si>
    <t>DEV-1096</t>
  </si>
  <si>
    <t>DEV-1097</t>
  </si>
  <si>
    <t>DEV-1098</t>
  </si>
  <si>
    <t>DEV-1099</t>
  </si>
  <si>
    <t>DEV-1100</t>
  </si>
  <si>
    <t>DEV-1101</t>
  </si>
  <si>
    <t>DEV-1102</t>
  </si>
  <si>
    <t>DEV-1103</t>
  </si>
  <si>
    <t>DEV-1104</t>
  </si>
  <si>
    <t>DEV-1105</t>
  </si>
  <si>
    <t>DEV-1106</t>
  </si>
  <si>
    <t>DEV-1107</t>
  </si>
  <si>
    <t>DEV-1108</t>
  </si>
  <si>
    <t>DEV-1109</t>
  </si>
  <si>
    <t>DEV-1110</t>
  </si>
  <si>
    <t>DEV-1111</t>
  </si>
  <si>
    <t>DEV-1112</t>
  </si>
  <si>
    <t>DEV-1113</t>
  </si>
  <si>
    <t>DEV-1114</t>
  </si>
  <si>
    <t>DEV-1115</t>
  </si>
  <si>
    <t>DEV-1116</t>
  </si>
  <si>
    <t>DEV-1117</t>
  </si>
  <si>
    <t>DEV-1118</t>
  </si>
  <si>
    <t>DEV-1119</t>
  </si>
  <si>
    <t>DEV-1120</t>
  </si>
  <si>
    <t>DEV-1121</t>
  </si>
  <si>
    <t>DEV-1122</t>
  </si>
  <si>
    <t>DEV-1123</t>
  </si>
  <si>
    <t>DEV-1124</t>
  </si>
  <si>
    <t>DEV-1125</t>
  </si>
  <si>
    <t>DEV-1126</t>
  </si>
  <si>
    <t>DEV-1127</t>
  </si>
  <si>
    <t>DEV-1128</t>
  </si>
  <si>
    <t>DEV-1129</t>
  </si>
  <si>
    <t>DEV-1130</t>
  </si>
  <si>
    <t>DEV-1131</t>
  </si>
  <si>
    <t>DEV-1132</t>
  </si>
  <si>
    <t>DEV-1133</t>
  </si>
  <si>
    <t>DEV-1134</t>
  </si>
  <si>
    <t>DEV-1135</t>
  </si>
  <si>
    <t>DEV-1136</t>
  </si>
  <si>
    <t>DEV-1137</t>
  </si>
  <si>
    <t>DEV-1138</t>
  </si>
  <si>
    <t>DEV-1139</t>
  </si>
  <si>
    <t>DEV-1140</t>
  </si>
  <si>
    <t>DEV-1141</t>
  </si>
  <si>
    <t>DEV-1142</t>
  </si>
  <si>
    <t>DEV-1143</t>
  </si>
  <si>
    <t>DEV-1144</t>
  </si>
  <si>
    <t>DEV-1145</t>
  </si>
  <si>
    <t>DEV-1146</t>
  </si>
  <si>
    <t>DEV-1147</t>
  </si>
  <si>
    <t>DEV-1148</t>
  </si>
  <si>
    <t>DEV-1149</t>
  </si>
  <si>
    <t>DEV-1150</t>
  </si>
  <si>
    <t>DEV-1151</t>
  </si>
  <si>
    <t>DEV-1152</t>
  </si>
  <si>
    <t>DEV-1153</t>
  </si>
  <si>
    <t>DEV-1154</t>
  </si>
  <si>
    <t>DEV-1155</t>
  </si>
  <si>
    <t>DEV-1156</t>
  </si>
  <si>
    <t>DEV-1157</t>
  </si>
  <si>
    <t>DEV-1158</t>
  </si>
  <si>
    <t>DEV-1159</t>
  </si>
  <si>
    <t>DEV-1160</t>
  </si>
  <si>
    <t>DEV-1161</t>
  </si>
  <si>
    <t>DEV-1162</t>
  </si>
  <si>
    <t>DEV-1163</t>
  </si>
  <si>
    <t>DEV-1164</t>
  </si>
  <si>
    <t>DEV-1165</t>
  </si>
  <si>
    <t>DEV-1166</t>
  </si>
  <si>
    <t>DEV-1167</t>
  </si>
  <si>
    <t>DEV-1168</t>
  </si>
  <si>
    <t>DEV-1169</t>
  </si>
  <si>
    <t>DEV-1170</t>
  </si>
  <si>
    <t>DEV-1171</t>
  </si>
  <si>
    <t>DEV-1172</t>
  </si>
  <si>
    <t>DEV-1173</t>
  </si>
  <si>
    <t>DEV-1174</t>
  </si>
  <si>
    <t>DEV-1175</t>
  </si>
  <si>
    <t>DEV-1176</t>
  </si>
  <si>
    <t>DEV-1177</t>
  </si>
  <si>
    <t>DEV-1178</t>
  </si>
  <si>
    <t>DEV-1179</t>
  </si>
  <si>
    <t>DEV-1180</t>
  </si>
  <si>
    <t>DEV-1181</t>
  </si>
  <si>
    <t>DEV-1182</t>
  </si>
  <si>
    <t>DEV-1183</t>
  </si>
  <si>
    <t>DEV-1184</t>
  </si>
  <si>
    <t>DEV-1185</t>
  </si>
  <si>
    <t>DEV-1186</t>
  </si>
  <si>
    <t>DEV-1187</t>
  </si>
  <si>
    <t>DEV-1188</t>
  </si>
  <si>
    <t>DEV-1189</t>
  </si>
  <si>
    <t>DEV-1190</t>
  </si>
  <si>
    <t>DEV-1191</t>
  </si>
  <si>
    <t>DEV-1192</t>
  </si>
  <si>
    <t>DEV-1193</t>
  </si>
  <si>
    <t>DEV-1194</t>
  </si>
  <si>
    <t>DEV-1195</t>
  </si>
  <si>
    <t>DEV-1196</t>
  </si>
  <si>
    <t>DEV-1197</t>
  </si>
  <si>
    <t>DEV-1198</t>
  </si>
  <si>
    <t>DEV-1199</t>
  </si>
  <si>
    <t>DEV-1200</t>
  </si>
  <si>
    <t>DEV-1201</t>
  </si>
  <si>
    <t>DEV-1202</t>
  </si>
  <si>
    <t>DEV-1203</t>
  </si>
  <si>
    <t>DEV-1204</t>
  </si>
  <si>
    <t>DEV-1205</t>
  </si>
  <si>
    <t>DEV-1206</t>
  </si>
  <si>
    <t>DEV-1207</t>
  </si>
  <si>
    <t>DEV-1208</t>
  </si>
  <si>
    <t>DEV-1209</t>
  </si>
  <si>
    <t>DEV-1210</t>
  </si>
  <si>
    <t>DEV-1211</t>
  </si>
  <si>
    <t>DEV-1212</t>
  </si>
  <si>
    <t>DEV-1213</t>
  </si>
  <si>
    <t>DEV-1214</t>
  </si>
  <si>
    <t>DEV-1215</t>
  </si>
  <si>
    <t>DEV-1216</t>
  </si>
  <si>
    <t>DEV-1217</t>
  </si>
  <si>
    <t>DEV-1218</t>
  </si>
  <si>
    <t>DEV-1219</t>
  </si>
  <si>
    <t>DEV-1220</t>
  </si>
  <si>
    <t>DEV-1221</t>
  </si>
  <si>
    <t>DEV-1222</t>
  </si>
  <si>
    <t>DEV-1223</t>
  </si>
  <si>
    <t>DEV-1224</t>
  </si>
  <si>
    <t>DEV-1225</t>
  </si>
  <si>
    <t>DEV-1226</t>
  </si>
  <si>
    <t>DEV-1227</t>
  </si>
  <si>
    <t>DEV-1228</t>
  </si>
  <si>
    <t>DEV-1229</t>
  </si>
  <si>
    <t>DEV-1230</t>
  </si>
  <si>
    <t>DEV-1231</t>
  </si>
  <si>
    <t>DEV-1232</t>
  </si>
  <si>
    <t>DEV-1233</t>
  </si>
  <si>
    <t>DEV-1234</t>
  </si>
  <si>
    <t>DEV-1235</t>
  </si>
  <si>
    <t>DEV-1236</t>
  </si>
  <si>
    <t>DEV-1237</t>
  </si>
  <si>
    <t>DEV-1238</t>
  </si>
  <si>
    <t>DEV-1239</t>
  </si>
  <si>
    <t>DEV-1240</t>
  </si>
  <si>
    <t>DEV-1241</t>
  </si>
  <si>
    <t>DEV-1242</t>
  </si>
  <si>
    <t>DEV-1243</t>
  </si>
  <si>
    <t>DEV-1244</t>
  </si>
  <si>
    <t>DEV-1245</t>
  </si>
  <si>
    <t>DEV-1246</t>
  </si>
  <si>
    <t>DEV-1247</t>
  </si>
  <si>
    <t>DEV-1248</t>
  </si>
  <si>
    <t>DEV-1249</t>
  </si>
  <si>
    <t>DEV-1250</t>
  </si>
  <si>
    <t>DEV-1251</t>
  </si>
  <si>
    <t>DEV-1252</t>
  </si>
  <si>
    <t>DEV-1253</t>
  </si>
  <si>
    <t>DEV-1254</t>
  </si>
  <si>
    <t>DEV-1255</t>
  </si>
  <si>
    <t>DEV-1256</t>
  </si>
  <si>
    <t>DEV-1257</t>
  </si>
  <si>
    <t>DEV-1258</t>
  </si>
  <si>
    <t>DEV-1259</t>
  </si>
  <si>
    <t>DEV-1260</t>
  </si>
  <si>
    <t>DEV-1261</t>
  </si>
  <si>
    <t>DEV-1262</t>
  </si>
  <si>
    <t>DEV-1263</t>
  </si>
  <si>
    <t>DEV-1264</t>
  </si>
  <si>
    <t>DEV-1265</t>
  </si>
  <si>
    <t>DEV-1266</t>
  </si>
  <si>
    <t>DEV-1267</t>
  </si>
  <si>
    <t>DEV-1268</t>
  </si>
  <si>
    <t>DEV-1269</t>
  </si>
  <si>
    <t>DEV-1270</t>
  </si>
  <si>
    <t>DEV-1271</t>
  </si>
  <si>
    <t>DEV-1272</t>
  </si>
  <si>
    <t>DEV-1273</t>
  </si>
  <si>
    <t>DEV-1274</t>
  </si>
  <si>
    <t>DEV-1275</t>
  </si>
  <si>
    <t>DEV-1276</t>
  </si>
  <si>
    <t>DEV-1277</t>
  </si>
  <si>
    <t>DEV-1278</t>
  </si>
  <si>
    <t>DEV-1279</t>
  </si>
  <si>
    <t>DEV-1280</t>
  </si>
  <si>
    <t>DEV-1281</t>
  </si>
  <si>
    <t>DEV-1282</t>
  </si>
  <si>
    <t>DEV-1283</t>
  </si>
  <si>
    <t>DEV-1284</t>
  </si>
  <si>
    <t>DEV-1285</t>
  </si>
  <si>
    <t>DEV-1286</t>
  </si>
  <si>
    <t>DEV-1287</t>
  </si>
  <si>
    <t>DEV-1288</t>
  </si>
  <si>
    <t>DEV-1289</t>
  </si>
  <si>
    <t>DEV-1290</t>
  </si>
  <si>
    <t>DEV-1291</t>
  </si>
  <si>
    <t>DEV-1292</t>
  </si>
  <si>
    <t>DEV-1293</t>
  </si>
  <si>
    <t>DEV-1294</t>
  </si>
  <si>
    <t>DEV-1295</t>
  </si>
  <si>
    <t>DEV-1296</t>
  </si>
  <si>
    <t>DEV-1297</t>
  </si>
  <si>
    <t>DEV-1298</t>
  </si>
  <si>
    <t>DEV-1299</t>
  </si>
  <si>
    <t>DEV-1300</t>
  </si>
  <si>
    <t>DEV-1301</t>
  </si>
  <si>
    <t>DEV-1302</t>
  </si>
  <si>
    <t>DEV-1303</t>
  </si>
  <si>
    <t>DEV-1304</t>
  </si>
  <si>
    <t>DEV-1305</t>
  </si>
  <si>
    <t>DEV-1306</t>
  </si>
  <si>
    <t>DEV-1307</t>
  </si>
  <si>
    <t>DEV-1308</t>
  </si>
  <si>
    <t>DEV-1309</t>
  </si>
  <si>
    <t>DEV-1310</t>
  </si>
  <si>
    <t>DEV-1311</t>
  </si>
  <si>
    <t>DEV-1312</t>
  </si>
  <si>
    <t>DEV-1313</t>
  </si>
  <si>
    <t>DEV-1314</t>
  </si>
  <si>
    <t>DEV-1315</t>
  </si>
  <si>
    <t>DEV-1316</t>
  </si>
  <si>
    <t>DEV-1317</t>
  </si>
  <si>
    <t>DEV-1318</t>
  </si>
  <si>
    <t>DEV-1319</t>
  </si>
  <si>
    <t>DEV-1320</t>
  </si>
  <si>
    <t>CAPA_ID</t>
  </si>
  <si>
    <t>Linked_Record</t>
  </si>
  <si>
    <t>Due_Date</t>
  </si>
  <si>
    <t>Owner_Dept</t>
  </si>
  <si>
    <t>Effectiveness_Check</t>
  </si>
  <si>
    <t>CAPA-501</t>
  </si>
  <si>
    <t>Effective</t>
  </si>
  <si>
    <t>CAPA-502</t>
  </si>
  <si>
    <t>Pending</t>
  </si>
  <si>
    <t>CAPA-503</t>
  </si>
  <si>
    <t>Not Effective</t>
  </si>
  <si>
    <t>CAPA-504</t>
  </si>
  <si>
    <t>CAPA-505</t>
  </si>
  <si>
    <t>CAPA-506</t>
  </si>
  <si>
    <t>CAPA-507</t>
  </si>
  <si>
    <t>CAPA-508</t>
  </si>
  <si>
    <t>CAPA-509</t>
  </si>
  <si>
    <t>CAPA-510</t>
  </si>
  <si>
    <t>CAPA-511</t>
  </si>
  <si>
    <t>CAPA-512</t>
  </si>
  <si>
    <t>CAPA-513</t>
  </si>
  <si>
    <t>CAPA-514</t>
  </si>
  <si>
    <t>CAPA-515</t>
  </si>
  <si>
    <t>CAPA-516</t>
  </si>
  <si>
    <t>CAPA-517</t>
  </si>
  <si>
    <t>CAPA-518</t>
  </si>
  <si>
    <t>CAPA-519</t>
  </si>
  <si>
    <t>CAPA-520</t>
  </si>
  <si>
    <t>CAPA-521</t>
  </si>
  <si>
    <t>CAPA-522</t>
  </si>
  <si>
    <t>CAPA-523</t>
  </si>
  <si>
    <t>CAPA-524</t>
  </si>
  <si>
    <t>CAPA-525</t>
  </si>
  <si>
    <t>CAPA-526</t>
  </si>
  <si>
    <t>CAPA-527</t>
  </si>
  <si>
    <t>CAPA-528</t>
  </si>
  <si>
    <t>CAPA-529</t>
  </si>
  <si>
    <t>CAPA-530</t>
  </si>
  <si>
    <t>CAPA-531</t>
  </si>
  <si>
    <t>CAPA-532</t>
  </si>
  <si>
    <t>CAPA-533</t>
  </si>
  <si>
    <t>CAPA-534</t>
  </si>
  <si>
    <t>CAPA-535</t>
  </si>
  <si>
    <t>CAPA-536</t>
  </si>
  <si>
    <t>CAPA-537</t>
  </si>
  <si>
    <t>CAPA-538</t>
  </si>
  <si>
    <t>CAPA-539</t>
  </si>
  <si>
    <t>CAPA-540</t>
  </si>
  <si>
    <t>CAPA-541</t>
  </si>
  <si>
    <t>CAPA-542</t>
  </si>
  <si>
    <t>CAPA-543</t>
  </si>
  <si>
    <t>CAPA-544</t>
  </si>
  <si>
    <t>CAPA-545</t>
  </si>
  <si>
    <t>CAPA-546</t>
  </si>
  <si>
    <t>CAPA-547</t>
  </si>
  <si>
    <t>CAPA-548</t>
  </si>
  <si>
    <t>CAPA-549</t>
  </si>
  <si>
    <t>CAPA-550</t>
  </si>
  <si>
    <t>CAPA-551</t>
  </si>
  <si>
    <t>CAPA-552</t>
  </si>
  <si>
    <t>CAPA-553</t>
  </si>
  <si>
    <t>CAPA-554</t>
  </si>
  <si>
    <t>CAPA-555</t>
  </si>
  <si>
    <t>CAPA-556</t>
  </si>
  <si>
    <t>CAPA-557</t>
  </si>
  <si>
    <t>CAPA-558</t>
  </si>
  <si>
    <t>CAPA-559</t>
  </si>
  <si>
    <t>CAPA-560</t>
  </si>
  <si>
    <t>CAPA-561</t>
  </si>
  <si>
    <t>CAPA-562</t>
  </si>
  <si>
    <t>CAPA-563</t>
  </si>
  <si>
    <t>CAPA-564</t>
  </si>
  <si>
    <t>CAPA-565</t>
  </si>
  <si>
    <t>CAPA-566</t>
  </si>
  <si>
    <t>CAPA-567</t>
  </si>
  <si>
    <t>CAPA-568</t>
  </si>
  <si>
    <t>CAPA-569</t>
  </si>
  <si>
    <t>CAPA-570</t>
  </si>
  <si>
    <t>CAPA-571</t>
  </si>
  <si>
    <t>CAPA-572</t>
  </si>
  <si>
    <t>CAPA-573</t>
  </si>
  <si>
    <t>CAPA-574</t>
  </si>
  <si>
    <t>CAPA-575</t>
  </si>
  <si>
    <t>CAPA-576</t>
  </si>
  <si>
    <t>CAPA-577</t>
  </si>
  <si>
    <t>CAPA-578</t>
  </si>
  <si>
    <t>CAPA-579</t>
  </si>
  <si>
    <t>CAPA-580</t>
  </si>
  <si>
    <t>CAPA-581</t>
  </si>
  <si>
    <t>CAPA-582</t>
  </si>
  <si>
    <t>CAPA-583</t>
  </si>
  <si>
    <t>CAPA-584</t>
  </si>
  <si>
    <t>CAPA-585</t>
  </si>
  <si>
    <t>CAPA-586</t>
  </si>
  <si>
    <t>CAPA-587</t>
  </si>
  <si>
    <t>CAPA-588</t>
  </si>
  <si>
    <t>CAPA-589</t>
  </si>
  <si>
    <t>CAPA-590</t>
  </si>
  <si>
    <t>CAPA-591</t>
  </si>
  <si>
    <t>CAPA-592</t>
  </si>
  <si>
    <t>CAPA-593</t>
  </si>
  <si>
    <t>CAPA-594</t>
  </si>
  <si>
    <t>CAPA-595</t>
  </si>
  <si>
    <t>CAPA-596</t>
  </si>
  <si>
    <t>CAPA-597</t>
  </si>
  <si>
    <t>CAPA-598</t>
  </si>
  <si>
    <t>CAPA-599</t>
  </si>
  <si>
    <t>CAPA-600</t>
  </si>
  <si>
    <t>CAPA-601</t>
  </si>
  <si>
    <t>CAPA-602</t>
  </si>
  <si>
    <t>CAPA-603</t>
  </si>
  <si>
    <t>CAPA-604</t>
  </si>
  <si>
    <t>CAPA-605</t>
  </si>
  <si>
    <t>CAPA-606</t>
  </si>
  <si>
    <t>CAPA-607</t>
  </si>
  <si>
    <t>CAPA-608</t>
  </si>
  <si>
    <t>CAPA-609</t>
  </si>
  <si>
    <t>CAPA-610</t>
  </si>
  <si>
    <t>CAPA-611</t>
  </si>
  <si>
    <t>CAPA-612</t>
  </si>
  <si>
    <t>CAPA-613</t>
  </si>
  <si>
    <t>CAPA-614</t>
  </si>
  <si>
    <t>CAPA-615</t>
  </si>
  <si>
    <t>CAPA-616</t>
  </si>
  <si>
    <t>CAPA-617</t>
  </si>
  <si>
    <t>CAPA-618</t>
  </si>
  <si>
    <t>CAPA-619</t>
  </si>
  <si>
    <t>CAPA-620</t>
  </si>
  <si>
    <t>CAPA-621</t>
  </si>
  <si>
    <t>CAPA-622</t>
  </si>
  <si>
    <t>CAPA-623</t>
  </si>
  <si>
    <t>CAPA-624</t>
  </si>
  <si>
    <t>CAPA-625</t>
  </si>
  <si>
    <t>CAPA-626</t>
  </si>
  <si>
    <t>CAPA-627</t>
  </si>
  <si>
    <t>CAPA-628</t>
  </si>
  <si>
    <t>CAPA-629</t>
  </si>
  <si>
    <t>CAPA-630</t>
  </si>
  <si>
    <t>CAPA-631</t>
  </si>
  <si>
    <t>CAPA-632</t>
  </si>
  <si>
    <t>CAPA-633</t>
  </si>
  <si>
    <t>CAPA-634</t>
  </si>
  <si>
    <t>CAPA-635</t>
  </si>
  <si>
    <t>CAPA-636</t>
  </si>
  <si>
    <t>CAPA-637</t>
  </si>
  <si>
    <t>CAPA-638</t>
  </si>
  <si>
    <t>CAPA-639</t>
  </si>
  <si>
    <t>CAPA-640</t>
  </si>
  <si>
    <t>CAPA-641</t>
  </si>
  <si>
    <t>CAPA-642</t>
  </si>
  <si>
    <t>CAPA-643</t>
  </si>
  <si>
    <t>CAPA-644</t>
  </si>
  <si>
    <t>CAPA-645</t>
  </si>
  <si>
    <t>CAPA-646</t>
  </si>
  <si>
    <t>CAPA-647</t>
  </si>
  <si>
    <t>CAPA-648</t>
  </si>
  <si>
    <t>CAPA-649</t>
  </si>
  <si>
    <t>CAPA-650</t>
  </si>
  <si>
    <t>CAPA-651</t>
  </si>
  <si>
    <t>CAPA-652</t>
  </si>
  <si>
    <t>CAPA-653</t>
  </si>
  <si>
    <t>CAPA-654</t>
  </si>
  <si>
    <t>CAPA-655</t>
  </si>
  <si>
    <t>CAPA-656</t>
  </si>
  <si>
    <t>CAPA-657</t>
  </si>
  <si>
    <t>CAPA-658</t>
  </si>
  <si>
    <t>CAPA-659</t>
  </si>
  <si>
    <t>CAPA-660</t>
  </si>
  <si>
    <t>CAPA-661</t>
  </si>
  <si>
    <t>CAPA-662</t>
  </si>
  <si>
    <t>CAPA-663</t>
  </si>
  <si>
    <t>CAPA-664</t>
  </si>
  <si>
    <t>CAPA-665</t>
  </si>
  <si>
    <t>CAPA-666</t>
  </si>
  <si>
    <t>CAPA-667</t>
  </si>
  <si>
    <t>CAPA-668</t>
  </si>
  <si>
    <t>CAPA-669</t>
  </si>
  <si>
    <t>CAPA-670</t>
  </si>
  <si>
    <t>CAPA-671</t>
  </si>
  <si>
    <t>CAPA-672</t>
  </si>
  <si>
    <t>CAPA-673</t>
  </si>
  <si>
    <t>CAPA-674</t>
  </si>
  <si>
    <t>CAPA-675</t>
  </si>
  <si>
    <t>CAPA-676</t>
  </si>
  <si>
    <t>CAPA-677</t>
  </si>
  <si>
    <t>CAPA-678</t>
  </si>
  <si>
    <t>CAPA-679</t>
  </si>
  <si>
    <t>CAPA-680</t>
  </si>
  <si>
    <t>Doc_No</t>
  </si>
  <si>
    <t>Doc_Type</t>
  </si>
  <si>
    <t>Next_Review</t>
  </si>
  <si>
    <t>Review_Status</t>
  </si>
  <si>
    <t>DOC-201</t>
  </si>
  <si>
    <t>SOP</t>
  </si>
  <si>
    <t>DOC-202</t>
  </si>
  <si>
    <t>DOC-203</t>
  </si>
  <si>
    <t>Protocol</t>
  </si>
  <si>
    <t>DOC-204</t>
  </si>
  <si>
    <t>DOC-205</t>
  </si>
  <si>
    <t>Specification</t>
  </si>
  <si>
    <t>Reviewed</t>
  </si>
  <si>
    <t>DOC-206</t>
  </si>
  <si>
    <t>DOC-207</t>
  </si>
  <si>
    <t>MOA</t>
  </si>
  <si>
    <t>DOC-208</t>
  </si>
  <si>
    <t>DOC-209</t>
  </si>
  <si>
    <t>DOC-210</t>
  </si>
  <si>
    <t>DOC-211</t>
  </si>
  <si>
    <t>DOC-212</t>
  </si>
  <si>
    <t>DOC-213</t>
  </si>
  <si>
    <t>DOC-214</t>
  </si>
  <si>
    <t>Due in 30 days</t>
  </si>
  <si>
    <t>DOC-215</t>
  </si>
  <si>
    <t>DOC-216</t>
  </si>
  <si>
    <t>DOC-217</t>
  </si>
  <si>
    <t>DOC-218</t>
  </si>
  <si>
    <t>DOC-219</t>
  </si>
  <si>
    <t>DOC-220</t>
  </si>
  <si>
    <t>DOC-221</t>
  </si>
  <si>
    <t>DOC-222</t>
  </si>
  <si>
    <t>DOC-223</t>
  </si>
  <si>
    <t>DOC-224</t>
  </si>
  <si>
    <t>DOC-225</t>
  </si>
  <si>
    <t>DOC-226</t>
  </si>
  <si>
    <t>DOC-227</t>
  </si>
  <si>
    <t>DOC-228</t>
  </si>
  <si>
    <t>DOC-229</t>
  </si>
  <si>
    <t>DOC-230</t>
  </si>
  <si>
    <t>DOC-231</t>
  </si>
  <si>
    <t>DOC-232</t>
  </si>
  <si>
    <t>DOC-233</t>
  </si>
  <si>
    <t>DOC-234</t>
  </si>
  <si>
    <t>DOC-235</t>
  </si>
  <si>
    <t>DOC-236</t>
  </si>
  <si>
    <t>DOC-237</t>
  </si>
  <si>
    <t>DOC-238</t>
  </si>
  <si>
    <t>DOC-239</t>
  </si>
  <si>
    <t>DOC-240</t>
  </si>
  <si>
    <t>DOC-241</t>
  </si>
  <si>
    <t>DOC-242</t>
  </si>
  <si>
    <t>DOC-243</t>
  </si>
  <si>
    <t>DOC-244</t>
  </si>
  <si>
    <t>DOC-245</t>
  </si>
  <si>
    <t>DOC-246</t>
  </si>
  <si>
    <t>DOC-247</t>
  </si>
  <si>
    <t>DOC-248</t>
  </si>
  <si>
    <t>DOC-249</t>
  </si>
  <si>
    <t>DOC-250</t>
  </si>
  <si>
    <t>DOC-251</t>
  </si>
  <si>
    <t>DOC-252</t>
  </si>
  <si>
    <t>DOC-253</t>
  </si>
  <si>
    <t>DOC-254</t>
  </si>
  <si>
    <t>DOC-255</t>
  </si>
  <si>
    <t>DOC-256</t>
  </si>
  <si>
    <t>DOC-257</t>
  </si>
  <si>
    <t>DOC-258</t>
  </si>
  <si>
    <t>DOC-259</t>
  </si>
  <si>
    <t>DOC-260</t>
  </si>
  <si>
    <t>DOC-261</t>
  </si>
  <si>
    <t>DOC-262</t>
  </si>
  <si>
    <t>DOC-263</t>
  </si>
  <si>
    <t>DOC-264</t>
  </si>
  <si>
    <t>DOC-265</t>
  </si>
  <si>
    <t>DOC-266</t>
  </si>
  <si>
    <t>DOC-267</t>
  </si>
  <si>
    <t>DOC-268</t>
  </si>
  <si>
    <t>DOC-269</t>
  </si>
  <si>
    <t>DOC-270</t>
  </si>
  <si>
    <t>DOC-271</t>
  </si>
  <si>
    <t>DOC-272</t>
  </si>
  <si>
    <t>DOC-273</t>
  </si>
  <si>
    <t>DOC-274</t>
  </si>
  <si>
    <t>DOC-275</t>
  </si>
  <si>
    <t>DOC-276</t>
  </si>
  <si>
    <t>DOC-277</t>
  </si>
  <si>
    <t>DOC-278</t>
  </si>
  <si>
    <t>DOC-279</t>
  </si>
  <si>
    <t>DOC-280</t>
  </si>
  <si>
    <t>DOC-281</t>
  </si>
  <si>
    <t>DOC-282</t>
  </si>
  <si>
    <t>DOC-283</t>
  </si>
  <si>
    <t>DOC-284</t>
  </si>
  <si>
    <t>DOC-285</t>
  </si>
  <si>
    <t>DOC-286</t>
  </si>
  <si>
    <t>DOC-287</t>
  </si>
  <si>
    <t>DOC-288</t>
  </si>
  <si>
    <t>DOC-289</t>
  </si>
  <si>
    <t>DOC-290</t>
  </si>
  <si>
    <t>DOC-291</t>
  </si>
  <si>
    <t>DOC-292</t>
  </si>
  <si>
    <t>DOC-293</t>
  </si>
  <si>
    <t>DOC-294</t>
  </si>
  <si>
    <t>DOC-295</t>
  </si>
  <si>
    <t>DOC-296</t>
  </si>
  <si>
    <t>DOC-297</t>
  </si>
  <si>
    <t>DOC-298</t>
  </si>
  <si>
    <t>DOC-299</t>
  </si>
  <si>
    <t>DOC-300</t>
  </si>
  <si>
    <t>DOC-301</t>
  </si>
  <si>
    <t>DOC-302</t>
  </si>
  <si>
    <t>DOC-303</t>
  </si>
  <si>
    <t>DOC-304</t>
  </si>
  <si>
    <t>DOC-305</t>
  </si>
  <si>
    <t>DOC-306</t>
  </si>
  <si>
    <t>DOC-307</t>
  </si>
  <si>
    <t>DOC-308</t>
  </si>
  <si>
    <t>DOC-309</t>
  </si>
  <si>
    <t>DOC-310</t>
  </si>
  <si>
    <t>DOC-311</t>
  </si>
  <si>
    <t>DOC-312</t>
  </si>
  <si>
    <t>DOC-313</t>
  </si>
  <si>
    <t>DOC-314</t>
  </si>
  <si>
    <t>DOC-315</t>
  </si>
  <si>
    <t>DOC-316</t>
  </si>
  <si>
    <t>DOC-317</t>
  </si>
  <si>
    <t>DOC-318</t>
  </si>
  <si>
    <t>DOC-319</t>
  </si>
  <si>
    <t>DOC-320</t>
  </si>
  <si>
    <t>DOC-321</t>
  </si>
  <si>
    <t>DOC-322</t>
  </si>
  <si>
    <t>DOC-323</t>
  </si>
  <si>
    <t>DOC-324</t>
  </si>
  <si>
    <t>DOC-325</t>
  </si>
  <si>
    <t>DOC-326</t>
  </si>
  <si>
    <t>DOC-327</t>
  </si>
  <si>
    <t>DOC-328</t>
  </si>
  <si>
    <t>DOC-329</t>
  </si>
  <si>
    <t>DOC-330</t>
  </si>
  <si>
    <t>DOC-331</t>
  </si>
  <si>
    <t>DOC-332</t>
  </si>
  <si>
    <t>DOC-333</t>
  </si>
  <si>
    <t>DOC-334</t>
  </si>
  <si>
    <t>DOC-335</t>
  </si>
  <si>
    <t>DOC-336</t>
  </si>
  <si>
    <t>DOC-337</t>
  </si>
  <si>
    <t>DOC-338</t>
  </si>
  <si>
    <t>DOC-339</t>
  </si>
  <si>
    <t>DOC-340</t>
  </si>
  <si>
    <t>Month</t>
  </si>
  <si>
    <t>Released</t>
  </si>
  <si>
    <t>Rejected</t>
  </si>
  <si>
    <t>Avg_Release_Days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</si>
  <si>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</si>
  <si>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</si>
  <si>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</si>
  <si>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</si>
  <si>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</si>
  <si>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</si>
  <si>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</si>
  <si>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</si>
  <si>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</si>
  <si>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</si>
  <si>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</si>
  <si>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</si>
  <si>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Deviations</t>
  </si>
  <si>
    <t>OOS/OOT</t>
  </si>
  <si>
    <t>Department</t>
  </si>
  <si>
    <t>Open + Overdue</t>
  </si>
  <si>
    <t>CAPA Status</t>
  </si>
  <si>
    <t>CAPAs</t>
  </si>
  <si>
    <t>Review Status</t>
  </si>
  <si>
    <t>Documents</t>
  </si>
  <si>
    <t>Root Cause</t>
  </si>
  <si>
    <t>Records</t>
  </si>
  <si>
    <t>PHARMA QA INTELLIGENCE DASHBOARD  |  Deviation - CAPA - OOS/OOT - Documents - Batch Release</t>
  </si>
  <si>
    <t>TOTAL QA RECORDS</t>
  </si>
  <si>
    <t>OPEN + OVERDUE</t>
  </si>
  <si>
    <t>OVERDUE CAPA</t>
  </si>
  <si>
    <t>CLOSED ON TIME %</t>
  </si>
  <si>
    <t>OOS / OOT CASES</t>
  </si>
  <si>
    <t>DOCS PENDING / OVERDUE</t>
  </si>
  <si>
    <t>MANAGEMENT INSIGHTS</t>
  </si>
  <si>
    <t>Portfolio sample built with fictitious data. No real company, product or batch information. AI-assisted analysis; QA review required for real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</si>
</sst>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rgb="FF828282"/>
      <name val="Calibri"/>
      <family val="2"/>
      <scheme val="minor"/>
    </font>
    <font>
      <b/>
      <sz val="17"/>
      <color rgb="FFFFFFFF"/>
      <name val="Calibri"/>
      <family val="2"/>
      <scheme val="minor"/>
    </font>
    <font>
      <b/>
      <sz val="9"/>
      <color rgb="FF646E78"/>
      <name val="Calibri"/>
      <family val="2"/>
      <scheme val="minor"/>
    </font>
    <font>
      <b/>
      <sz val="24"/>
      <color rgb="FF123456"/>
      <name val="Calibri"/>
      <family val="2"/>
      <scheme val="minor"/>
    </font>
    <font>
      <b/>
      <sz val="24"/>
      <color rgb="FFE67E22"/>
      <name val="Calibri"/>
      <family val="2"/>
      <scheme val="minor"/>
    </font>
    <font>
      <b/>
      <sz val="24"/>
      <color rgb="FFC0392B"/>
      <name val="Calibri"/>
      <family val="2"/>
      <scheme val="minor"/>
    </font>
    <font>
      <b/>
      <sz val="24"/>
      <color rgb="FF167878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8"/>
      <color rgb="FF6E6E6E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67878"/>
        <bgColor indexed="64"/>
      </patternFill>
    </fill>
  </fills>
  <borders count="11">
    <border>
      <left/>
      <right/>
      <top/>
      <bottom/>
      <diagonal/>
    </border>
    <border>
      <left style="thin">
        <color rgb="FFD2DAE2"/>
      </left>
      <right style="thin">
        <color rgb="FFD2DAE2"/>
      </right>
      <top style="thin">
        <color rgb="FFD2DAE2"/>
      </top>
      <bottom style="thin">
        <color rgb="FFD2DAE2"/>
      </bottom>
      <diagonal/>
    </border>
    <border>
      <left style="thin">
        <color rgb="FFD2DAE2"/>
      </left>
      <right style="thin">
        <color rgb="FFD2DAE2"/>
      </right>
      <top style="thick">
        <color rgb="FF123456"/>
      </top>
      <bottom style="thin">
        <color rgb="FFD2DAE2"/>
      </bottom>
      <diagonal/>
    </border>
    <border>
      <left style="thin">
        <color rgb="FFD2DAE2"/>
      </left>
      <right/>
      <top style="thick">
        <color rgb="FF123456"/>
      </top>
      <bottom style="thin">
        <color rgb="FFD2DAE2"/>
      </bottom>
      <diagonal/>
    </border>
    <border>
      <left style="thin">
        <color rgb="FFD2DAE2"/>
      </left>
      <right/>
      <top style="thin">
        <color rgb="FFD2DAE2"/>
      </top>
      <bottom style="thin">
        <color rgb="FFD2DAE2"/>
      </bottom>
      <diagonal/>
    </border>
    <border>
      <left style="thin">
        <color rgb="FFD2DAE2"/>
      </left>
      <right style="thin">
        <color rgb="FFD2DAE2"/>
      </right>
      <top style="thick">
        <color rgb="FFE67E22"/>
      </top>
      <bottom style="thin">
        <color rgb="FFD2DAE2"/>
      </bottom>
      <diagonal/>
    </border>
    <border>
      <left style="thin">
        <color rgb="FFD2DAE2"/>
      </left>
      <right/>
      <top style="thick">
        <color rgb="FFE67E22"/>
      </top>
      <bottom style="thin">
        <color rgb="FFD2DAE2"/>
      </bottom>
      <diagonal/>
    </border>
    <border>
      <left style="thin">
        <color rgb="FFD2DAE2"/>
      </left>
      <right style="thin">
        <color rgb="FFD2DAE2"/>
      </right>
      <top style="thick">
        <color rgb="FFC0392B"/>
      </top>
      <bottom style="thin">
        <color rgb="FFD2DAE2"/>
      </bottom>
      <diagonal/>
    </border>
    <border>
      <left style="thin">
        <color rgb="FFD2DAE2"/>
      </left>
      <right/>
      <top style="thick">
        <color rgb="FFC0392B"/>
      </top>
      <bottom style="thin">
        <color rgb="FFD2DAE2"/>
      </bottom>
      <diagonal/>
    </border>
    <border>
      <left style="thin">
        <color rgb="FFD2DAE2"/>
      </left>
      <right style="thin">
        <color rgb="FFD2DAE2"/>
      </right>
      <top style="thick">
        <color rgb="FF167878"/>
      </top>
      <bottom style="thin">
        <color rgb="FFD2DAE2"/>
      </bottom>
      <diagonal/>
    </border>
    <border>
      <left style="thin">
        <color rgb="FFD2DAE2"/>
      </left>
      <right/>
      <top style="thick">
        <color rgb="FF167878"/>
      </top>
      <bottom style="thin">
        <color rgb="FFD2DAE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164" fontId="0" fillId="0" borderId="0" xfId="0" applyNumberFormat="1"/>
    <xf numFmtId="49" fontId="0" fillId="0" borderId="0" xfId="0" applyNumberFormat="1"/>
    <xf numFmtId="0" fontId="0" fillId="3" borderId="0" xfId="0" applyFill="1"/>
    <xf numFmtId="0" fontId="2" fillId="3" borderId="0" xfId="0" applyFont="1" applyFill="1"/>
    <xf numFmtId="49" fontId="2" fillId="3" borderId="0" xfId="0" applyNumberFormat="1" applyFont="1" applyFill="1"/>
    <xf numFmtId="0" fontId="3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0" fontId="0" fillId="4" borderId="1" xfId="0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1" fillId="5" borderId="0" xfId="0" applyFont="1" applyFill="1"/>
    <xf numFmtId="0" fontId="0" fillId="5" borderId="0" xfId="0" applyFill="1"/>
    <xf numFmtId="0" fontId="0" fillId="4" borderId="0" xfId="0" applyFill="1" applyAlignment="1">
      <alignment horizontal="left" indent="1"/>
    </xf>
    <xf numFmtId="0" fontId="9" fillId="4" borderId="0" xfId="0" applyFont="1" applyFill="1" applyAlignment="1">
      <alignment horizontal="left" indent="1"/>
    </xf>
    <xf numFmtId="0" fontId="1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Monthly Trend: Deviations vs OOS/OOT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Dashboard!$W$1</c:f>
              <c:strCache>
                <c:ptCount val="1"/>
                <c:pt idx="0">
                  <c:v>Deviations</c:v>
                </c:pt>
              </c:strCache>
            </c:strRef>
          </c:tx>
          <c:spPr>
            <a:ln w="31750">
              <a:solidFill>
                <a:srgbClr val="167878"/>
              </a:solidFill>
            </a:ln>
          </c:spPr>
          <c:marker>
            <c:symbol val="none"/>
          </c:marker>
          <c:cat>
            <c:strRef>
              <c:f>Dashboard!$V$2:$V$13</c:f>
              <c:strCache>
                <c:ptCount val="12"/>
                <c:pt idx="0">
                  <c:v>Oct-25</c:v>
                </c:pt>
                <c:pt idx="1">
                  <c:v>Nov-25</c:v>
                </c:pt>
                <c:pt idx="2">
                  <c:v>Dec-25</c:v>
                </c:pt>
                <c:pt idx="3">
                  <c:v>Jan-26</c:v>
                </c:pt>
                <c:pt idx="4">
                  <c:v>Feb-26</c:v>
                </c:pt>
                <c:pt idx="5">
                  <c:v>Mar-26</c:v>
                </c:pt>
                <c:pt idx="6">
                  <c:v>Apr-26</c:v>
                </c:pt>
                <c:pt idx="7">
                  <c:v>May-26</c:v>
                </c:pt>
                <c:pt idx="8">
                  <c:v>Jun-26</c:v>
                </c:pt>
                <c:pt idx="9">
                  <c:v>Jul-26</c:v>
                </c:pt>
                <c:pt idx="10">
                  <c:v>Aug-26</c:v>
                </c:pt>
                <c:pt idx="11">
                  <c:v>Sep-26</c:v>
                </c:pt>
              </c:strCache>
            </c:strRef>
          </c:cat>
          <c:val>
            <c:numRef>
              <c:f>Dashboard!$W$2:$W$13</c:f>
              <c:numCache>
                <c:formatCode>General</c:formatCode>
                <c:ptCount val="12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18</c:v>
                </c:pt>
                <c:pt idx="4">
                  <c:v>15</c:v>
                </c:pt>
                <c:pt idx="5">
                  <c:v>21</c:v>
                </c:pt>
                <c:pt idx="6">
                  <c:v>22</c:v>
                </c:pt>
                <c:pt idx="7">
                  <c:v>18</c:v>
                </c:pt>
                <c:pt idx="8">
                  <c:v>25</c:v>
                </c:pt>
                <c:pt idx="9">
                  <c:v>14</c:v>
                </c:pt>
                <c:pt idx="10">
                  <c:v>17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7A-4A24-A511-8079FA839871}"/>
            </c:ext>
          </c:extLst>
        </c:ser>
        <c:ser>
          <c:idx val="1"/>
          <c:order val="1"/>
          <c:tx>
            <c:strRef>
              <c:f>Dashboard!$X$1</c:f>
              <c:strCache>
                <c:ptCount val="1"/>
                <c:pt idx="0">
                  <c:v>OOS/OOT</c:v>
                </c:pt>
              </c:strCache>
            </c:strRef>
          </c:tx>
          <c:spPr>
            <a:ln w="31750">
              <a:solidFill>
                <a:srgbClr val="E67E22"/>
              </a:solidFill>
            </a:ln>
          </c:spPr>
          <c:marker>
            <c:symbol val="none"/>
          </c:marker>
          <c:cat>
            <c:strRef>
              <c:f>Dashboard!$V$2:$V$13</c:f>
              <c:strCache>
                <c:ptCount val="12"/>
                <c:pt idx="0">
                  <c:v>Oct-25</c:v>
                </c:pt>
                <c:pt idx="1">
                  <c:v>Nov-25</c:v>
                </c:pt>
                <c:pt idx="2">
                  <c:v>Dec-25</c:v>
                </c:pt>
                <c:pt idx="3">
                  <c:v>Jan-26</c:v>
                </c:pt>
                <c:pt idx="4">
                  <c:v>Feb-26</c:v>
                </c:pt>
                <c:pt idx="5">
                  <c:v>Mar-26</c:v>
                </c:pt>
                <c:pt idx="6">
                  <c:v>Apr-26</c:v>
                </c:pt>
                <c:pt idx="7">
                  <c:v>May-26</c:v>
                </c:pt>
                <c:pt idx="8">
                  <c:v>Jun-26</c:v>
                </c:pt>
                <c:pt idx="9">
                  <c:v>Jul-26</c:v>
                </c:pt>
                <c:pt idx="10">
                  <c:v>Aug-26</c:v>
                </c:pt>
                <c:pt idx="11">
                  <c:v>Sep-26</c:v>
                </c:pt>
              </c:strCache>
            </c:strRef>
          </c:cat>
          <c:val>
            <c:numRef>
              <c:f>Dashboard!$X$2:$X$13</c:f>
              <c:numCache>
                <c:formatCode>General</c:formatCode>
                <c:ptCount val="12"/>
                <c:pt idx="0">
                  <c:v>8</c:v>
                </c:pt>
                <c:pt idx="1">
                  <c:v>11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11</c:v>
                </c:pt>
                <c:pt idx="6">
                  <c:v>6</c:v>
                </c:pt>
                <c:pt idx="7">
                  <c:v>8</c:v>
                </c:pt>
                <c:pt idx="8">
                  <c:v>8</c:v>
                </c:pt>
                <c:pt idx="9">
                  <c:v>5</c:v>
                </c:pt>
                <c:pt idx="10">
                  <c:v>3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7A-4A24-A511-8079FA839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0845823"/>
        <c:axId val="1130036303"/>
      </c:lineChart>
      <c:catAx>
        <c:axId val="1140845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30036303"/>
        <c:crosses val="autoZero"/>
        <c:auto val="1"/>
        <c:lblAlgn val="ctr"/>
        <c:lblOffset val="100"/>
        <c:noMultiLvlLbl val="0"/>
      </c:catAx>
      <c:valAx>
        <c:axId val="113003630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40845823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Open + Overdue by Department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Dashboard!$AA$1</c:f>
              <c:strCache>
                <c:ptCount val="1"/>
                <c:pt idx="0">
                  <c:v>Open + Overdue</c:v>
                </c:pt>
              </c:strCache>
            </c:strRef>
          </c:tx>
          <c:spPr>
            <a:solidFill>
              <a:srgbClr val="2E7DA0"/>
            </a:solidFill>
          </c:spPr>
          <c:invertIfNegative val="0"/>
          <c:cat>
            <c:strRef>
              <c:f>Dashboard!$Z$2:$Z$7</c:f>
              <c:strCache>
                <c:ptCount val="6"/>
                <c:pt idx="0">
                  <c:v>QC</c:v>
                </c:pt>
                <c:pt idx="1">
                  <c:v>Production</c:v>
                </c:pt>
                <c:pt idx="2">
                  <c:v>Packing</c:v>
                </c:pt>
                <c:pt idx="3">
                  <c:v>Warehouse</c:v>
                </c:pt>
                <c:pt idx="4">
                  <c:v>QA</c:v>
                </c:pt>
                <c:pt idx="5">
                  <c:v>Engineering</c:v>
                </c:pt>
              </c:strCache>
            </c:strRef>
          </c:cat>
          <c:val>
            <c:numRef>
              <c:f>Dashboard!$AA$2:$AA$7</c:f>
              <c:numCache>
                <c:formatCode>General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15</c:v>
                </c:pt>
                <c:pt idx="3">
                  <c:v>19</c:v>
                </c:pt>
                <c:pt idx="4">
                  <c:v>18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12-473D-8813-9D255DE16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745375"/>
        <c:axId val="1130047823"/>
      </c:barChart>
      <c:catAx>
        <c:axId val="11357453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30047823"/>
        <c:crosses val="autoZero"/>
        <c:auto val="1"/>
        <c:lblAlgn val="ctr"/>
        <c:lblOffset val="100"/>
        <c:noMultiLvlLbl val="0"/>
      </c:catAx>
      <c:valAx>
        <c:axId val="1130047823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13574537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IN"/>
              <a:t>CAPA Status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Dashboard!$AD$1</c:f>
              <c:strCache>
                <c:ptCount val="1"/>
                <c:pt idx="0">
                  <c:v>CAPAs</c:v>
                </c:pt>
              </c:strCache>
            </c:strRef>
          </c:tx>
          <c:dPt>
            <c:idx val="0"/>
            <c:bubble3D val="0"/>
            <c:spPr>
              <a:solidFill>
                <a:srgbClr val="167878"/>
              </a:solidFill>
            </c:spPr>
            <c:extLst>
              <c:ext xmlns:c16="http://schemas.microsoft.com/office/drawing/2014/chart" uri="{C3380CC4-5D6E-409C-BE32-E72D297353CC}">
                <c16:uniqueId val="{00000003-5B7A-430B-A5FD-FC02A815BAF8}"/>
              </c:ext>
            </c:extLst>
          </c:dPt>
          <c:dPt>
            <c:idx val="1"/>
            <c:bubble3D val="0"/>
            <c:spPr>
              <a:solidFill>
                <a:srgbClr val="E67E22"/>
              </a:solidFill>
            </c:spPr>
            <c:extLst>
              <c:ext xmlns:c16="http://schemas.microsoft.com/office/drawing/2014/chart" uri="{C3380CC4-5D6E-409C-BE32-E72D297353CC}">
                <c16:uniqueId val="{00000004-5B7A-430B-A5FD-FC02A815BAF8}"/>
              </c:ext>
            </c:extLst>
          </c:dPt>
          <c:dPt>
            <c:idx val="2"/>
            <c:bubble3D val="0"/>
            <c:spPr>
              <a:solidFill>
                <a:srgbClr val="C0392B"/>
              </a:solidFill>
            </c:spPr>
            <c:extLst>
              <c:ext xmlns:c16="http://schemas.microsoft.com/office/drawing/2014/chart" uri="{C3380CC4-5D6E-409C-BE32-E72D297353CC}">
                <c16:uniqueId val="{00000005-5B7A-430B-A5FD-FC02A815BAF8}"/>
              </c:ext>
            </c:extLst>
          </c:dPt>
          <c:cat>
            <c:strRef>
              <c:f>Dashboard!$AC$2:$AC$4</c:f>
              <c:strCache>
                <c:ptCount val="3"/>
                <c:pt idx="0">
                  <c:v>Closed</c:v>
                </c:pt>
                <c:pt idx="1">
                  <c:v>Open</c:v>
                </c:pt>
                <c:pt idx="2">
                  <c:v>Overdue</c:v>
                </c:pt>
              </c:strCache>
            </c:strRef>
          </c:cat>
          <c:val>
            <c:numRef>
              <c:f>Dashboard!$AD$2:$AD$4</c:f>
              <c:numCache>
                <c:formatCode>General</c:formatCode>
                <c:ptCount val="3"/>
                <c:pt idx="0">
                  <c:v>86</c:v>
                </c:pt>
                <c:pt idx="1">
                  <c:v>66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7A-430B-A5FD-FC02A815B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IN"/>
              <a:t>Document Review Status (MOA / Specs / SOP)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Dashboard!$AG$1</c:f>
              <c:strCache>
                <c:ptCount val="1"/>
                <c:pt idx="0">
                  <c:v>Documents</c:v>
                </c:pt>
              </c:strCache>
            </c:strRef>
          </c:tx>
          <c:spPr>
            <a:solidFill>
              <a:srgbClr val="123456"/>
            </a:solidFill>
          </c:spPr>
          <c:invertIfNegative val="0"/>
          <c:cat>
            <c:strRef>
              <c:f>Dashboard!$AF$2:$AF$5</c:f>
              <c:strCache>
                <c:ptCount val="4"/>
                <c:pt idx="0">
                  <c:v>Reviewed</c:v>
                </c:pt>
                <c:pt idx="1">
                  <c:v>Due in 30 days</c:v>
                </c:pt>
                <c:pt idx="2">
                  <c:v>Pending</c:v>
                </c:pt>
                <c:pt idx="3">
                  <c:v>Overdue</c:v>
                </c:pt>
              </c:strCache>
            </c:strRef>
          </c:cat>
          <c:val>
            <c:numRef>
              <c:f>Dashboard!$AG$2:$AG$5</c:f>
              <c:numCache>
                <c:formatCode>General</c:formatCode>
                <c:ptCount val="4"/>
                <c:pt idx="0">
                  <c:v>69</c:v>
                </c:pt>
                <c:pt idx="1">
                  <c:v>17</c:v>
                </c:pt>
                <c:pt idx="2">
                  <c:v>27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80-44F4-B59E-57A9A7601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698719"/>
        <c:axId val="1130061263"/>
      </c:barChart>
      <c:catAx>
        <c:axId val="1135698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30061263"/>
        <c:crosses val="autoZero"/>
        <c:auto val="1"/>
        <c:lblAlgn val="ctr"/>
        <c:lblOffset val="100"/>
        <c:noMultiLvlLbl val="0"/>
      </c:catAx>
      <c:valAx>
        <c:axId val="113006126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35698719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IN"/>
              <a:t>Batch Release: Released vs Rejected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Batches!$B$1</c:f>
              <c:strCache>
                <c:ptCount val="1"/>
                <c:pt idx="0">
                  <c:v>Released</c:v>
                </c:pt>
              </c:strCache>
            </c:strRef>
          </c:tx>
          <c:spPr>
            <a:solidFill>
              <a:srgbClr val="167878"/>
            </a:solidFill>
          </c:spPr>
          <c:invertIfNegative val="0"/>
          <c:cat>
            <c:strRef>
              <c:f>Batches!$A$2:$A$13</c:f>
              <c:strCache>
                <c:ptCount val="12"/>
                <c:pt idx="0">
                  <c:v>Oct-25</c:v>
                </c:pt>
                <c:pt idx="1">
                  <c:v>Nov-25</c:v>
                </c:pt>
                <c:pt idx="2">
                  <c:v>Dec-25</c:v>
                </c:pt>
                <c:pt idx="3">
                  <c:v>Jan-26</c:v>
                </c:pt>
                <c:pt idx="4">
                  <c:v>Feb-26</c:v>
                </c:pt>
                <c:pt idx="5">
                  <c:v>Mar-26</c:v>
                </c:pt>
                <c:pt idx="6">
                  <c:v>Apr-26</c:v>
                </c:pt>
                <c:pt idx="7">
                  <c:v>May-26</c:v>
                </c:pt>
                <c:pt idx="8">
                  <c:v>Jun-26</c:v>
                </c:pt>
                <c:pt idx="9">
                  <c:v>Jul-26</c:v>
                </c:pt>
                <c:pt idx="10">
                  <c:v>Aug-26</c:v>
                </c:pt>
                <c:pt idx="11">
                  <c:v>Sep-26</c:v>
                </c:pt>
              </c:strCache>
            </c:strRef>
          </c:cat>
          <c:val>
            <c:numRef>
              <c:f>Batches!$B$2:$B$13</c:f>
              <c:numCache>
                <c:formatCode>General</c:formatCode>
                <c:ptCount val="12"/>
                <c:pt idx="0">
                  <c:v>54</c:v>
                </c:pt>
                <c:pt idx="1">
                  <c:v>42</c:v>
                </c:pt>
                <c:pt idx="2">
                  <c:v>39</c:v>
                </c:pt>
                <c:pt idx="3">
                  <c:v>53</c:v>
                </c:pt>
                <c:pt idx="4">
                  <c:v>49</c:v>
                </c:pt>
                <c:pt idx="5">
                  <c:v>40</c:v>
                </c:pt>
                <c:pt idx="6">
                  <c:v>53</c:v>
                </c:pt>
                <c:pt idx="7">
                  <c:v>40</c:v>
                </c:pt>
                <c:pt idx="8">
                  <c:v>41</c:v>
                </c:pt>
                <c:pt idx="9">
                  <c:v>55</c:v>
                </c:pt>
                <c:pt idx="10">
                  <c:v>44</c:v>
                </c:pt>
                <c:pt idx="1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42-4C40-9DF3-A09CCCC50BB6}"/>
            </c:ext>
          </c:extLst>
        </c:ser>
        <c:ser>
          <c:idx val="1"/>
          <c:order val="1"/>
          <c:tx>
            <c:strRef>
              <c:f>Batches!$C$1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C0392B"/>
            </a:solidFill>
          </c:spPr>
          <c:invertIfNegative val="0"/>
          <c:cat>
            <c:strRef>
              <c:f>Batches!$A$2:$A$13</c:f>
              <c:strCache>
                <c:ptCount val="12"/>
                <c:pt idx="0">
                  <c:v>Oct-25</c:v>
                </c:pt>
                <c:pt idx="1">
                  <c:v>Nov-25</c:v>
                </c:pt>
                <c:pt idx="2">
                  <c:v>Dec-25</c:v>
                </c:pt>
                <c:pt idx="3">
                  <c:v>Jan-26</c:v>
                </c:pt>
                <c:pt idx="4">
                  <c:v>Feb-26</c:v>
                </c:pt>
                <c:pt idx="5">
                  <c:v>Mar-26</c:v>
                </c:pt>
                <c:pt idx="6">
                  <c:v>Apr-26</c:v>
                </c:pt>
                <c:pt idx="7">
                  <c:v>May-26</c:v>
                </c:pt>
                <c:pt idx="8">
                  <c:v>Jun-26</c:v>
                </c:pt>
                <c:pt idx="9">
                  <c:v>Jul-26</c:v>
                </c:pt>
                <c:pt idx="10">
                  <c:v>Aug-26</c:v>
                </c:pt>
                <c:pt idx="11">
                  <c:v>Sep-26</c:v>
                </c:pt>
              </c:strCache>
            </c:strRef>
          </c:cat>
          <c:val>
            <c:numRef>
              <c:f>Batches!$C$2:$C$13</c:f>
              <c:numCache>
                <c:formatCode>General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42-4C40-9DF3-A09CCCC50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8002063"/>
        <c:axId val="1130100623"/>
      </c:barChart>
      <c:catAx>
        <c:axId val="12680020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30100623"/>
        <c:crosses val="autoZero"/>
        <c:auto val="1"/>
        <c:lblAlgn val="ctr"/>
        <c:lblOffset val="100"/>
        <c:noMultiLvlLbl val="0"/>
      </c:catAx>
      <c:valAx>
        <c:axId val="11301006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68002063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F97224-67B2-E776-2CB7-9EE160B4E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7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454831-43F2-2995-8832-B10040690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250159-6098-3ECC-14EB-7ABDDAD57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13</xdr:col>
      <xdr:colOff>0</xdr:colOff>
      <xdr:row>38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0812CD-A764-1729-178C-B42881D8F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23</xdr:row>
      <xdr:rowOff>0</xdr:rowOff>
    </xdr:from>
    <xdr:to>
      <xdr:col>19</xdr:col>
      <xdr:colOff>0</xdr:colOff>
      <xdr:row>38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09FD0B-1866-849C-D7F7-10778A4FA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F8EC-943D-4421-B327-C14D47A0AAC0}">
  <dimension ref="B1:AJ46"/>
  <sheetViews>
    <sheetView showGridLines="0" tabSelected="1" workbookViewId="0"/>
  </sheetViews>
  <sheetFormatPr defaultRowHeight="14.5" x14ac:dyDescent="0.35"/>
  <cols>
    <col min="1" max="1" width="2.6328125" style="4" customWidth="1"/>
    <col min="2" max="19" width="10.1796875" style="4" customWidth="1"/>
    <col min="20" max="16384" width="8.7265625" style="4"/>
  </cols>
  <sheetData>
    <row r="1" spans="2:36" ht="24" customHeight="1" x14ac:dyDescent="0.35">
      <c r="B1" s="7" t="s">
        <v>716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V1" s="5" t="s">
        <v>690</v>
      </c>
      <c r="W1" s="5" t="s">
        <v>706</v>
      </c>
      <c r="X1" s="5" t="s">
        <v>707</v>
      </c>
      <c r="Y1" s="5"/>
      <c r="Z1" s="5" t="s">
        <v>708</v>
      </c>
      <c r="AA1" s="5" t="s">
        <v>709</v>
      </c>
      <c r="AB1" s="5"/>
      <c r="AC1" s="5" t="s">
        <v>710</v>
      </c>
      <c r="AD1" s="5" t="s">
        <v>711</v>
      </c>
      <c r="AE1" s="5"/>
      <c r="AF1" s="5" t="s">
        <v>712</v>
      </c>
      <c r="AG1" s="5" t="s">
        <v>713</v>
      </c>
      <c r="AH1" s="5"/>
      <c r="AI1" s="5" t="s">
        <v>714</v>
      </c>
      <c r="AJ1" s="5" t="s">
        <v>715</v>
      </c>
    </row>
    <row r="2" spans="2:36" ht="24" customHeight="1" x14ac:dyDescent="0.35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V2" s="6" t="s">
        <v>694</v>
      </c>
      <c r="W2" s="5">
        <f>COUNTIFS(Deviation!$B$2:$B$321,"&gt;=45931",Deviation!$B$2:$B$321,"&lt;45962",Deviation!$D$2:$D$321,"Deviation")</f>
        <v>18</v>
      </c>
      <c r="X2" s="5">
        <f>COUNTIFS(Deviation!$B$2:$B$321,"&gt;=45931",Deviation!$B$2:$B$321,"&lt;45962",Deviation!$D$2:$D$321,"&lt;&gt;Deviation")</f>
        <v>8</v>
      </c>
      <c r="Y2" s="5"/>
      <c r="Z2" s="5" t="s">
        <v>30</v>
      </c>
      <c r="AA2" s="5">
        <f>COUNTIFS(Deviation!$C$2:$C$321,Z2,Deviation!$G$2:$G$321,"&lt;&gt;Closed")</f>
        <v>17</v>
      </c>
      <c r="AB2" s="5"/>
      <c r="AC2" s="5" t="s">
        <v>19</v>
      </c>
      <c r="AD2" s="5">
        <f>COUNTIFS(CAPA!$E$2:$E$181,AC2)</f>
        <v>86</v>
      </c>
      <c r="AE2" s="5"/>
      <c r="AF2" s="5" t="s">
        <v>552</v>
      </c>
      <c r="AG2" s="5">
        <f>COUNTIFS(Documents!$E$2:$E$141,AF2)</f>
        <v>69</v>
      </c>
      <c r="AH2" s="5"/>
      <c r="AI2" s="5" t="s">
        <v>13</v>
      </c>
      <c r="AJ2" s="5">
        <f>COUNTIFS(Deviation!$F$2:$F$321,AI2)</f>
        <v>69</v>
      </c>
    </row>
    <row r="3" spans="2:36" ht="8" customHeight="1" thickBot="1" x14ac:dyDescent="0.4">
      <c r="V3" s="6" t="s">
        <v>695</v>
      </c>
      <c r="W3" s="5">
        <f>COUNTIFS(Deviation!$B$2:$B$321,"&gt;=45962",Deviation!$B$2:$B$321,"&lt;45992",Deviation!$D$2:$D$321,"Deviation")</f>
        <v>19</v>
      </c>
      <c r="X3" s="5">
        <f>COUNTIFS(Deviation!$B$2:$B$321,"&gt;=45962",Deviation!$B$2:$B$321,"&lt;45992",Deviation!$D$2:$D$321,"&lt;&gt;Deviation")</f>
        <v>11</v>
      </c>
      <c r="Y3" s="5"/>
      <c r="Z3" s="5" t="s">
        <v>46</v>
      </c>
      <c r="AA3" s="5">
        <f>COUNTIFS(Deviation!$C$2:$C$321,Z3,Deviation!$G$2:$G$321,"&lt;&gt;Closed")</f>
        <v>18</v>
      </c>
      <c r="AB3" s="5"/>
      <c r="AC3" s="5" t="s">
        <v>14</v>
      </c>
      <c r="AD3" s="5">
        <f>COUNTIFS(CAPA!$E$2:$E$181,AC3)</f>
        <v>66</v>
      </c>
      <c r="AE3" s="5"/>
      <c r="AF3" s="5" t="s">
        <v>563</v>
      </c>
      <c r="AG3" s="5">
        <f>COUNTIFS(Documents!$E$2:$E$141,AF3)</f>
        <v>17</v>
      </c>
      <c r="AH3" s="5"/>
      <c r="AI3" s="5" t="s">
        <v>18</v>
      </c>
      <c r="AJ3" s="5">
        <f>COUNTIFS(Deviation!$F$2:$F$321,AI3)</f>
        <v>64</v>
      </c>
    </row>
    <row r="4" spans="2:36" ht="15" thickTop="1" x14ac:dyDescent="0.35">
      <c r="B4" s="11" t="s">
        <v>717</v>
      </c>
      <c r="C4" s="12"/>
      <c r="D4" s="14"/>
      <c r="E4" s="16" t="s">
        <v>718</v>
      </c>
      <c r="F4" s="17"/>
      <c r="G4" s="19"/>
      <c r="H4" s="20" t="s">
        <v>719</v>
      </c>
      <c r="I4" s="21"/>
      <c r="J4" s="23"/>
      <c r="K4" s="24" t="s">
        <v>720</v>
      </c>
      <c r="L4" s="25"/>
      <c r="M4" s="26"/>
      <c r="N4" s="11" t="s">
        <v>721</v>
      </c>
      <c r="O4" s="12"/>
      <c r="P4" s="14"/>
      <c r="Q4" s="20" t="s">
        <v>722</v>
      </c>
      <c r="R4" s="21"/>
      <c r="S4" s="21"/>
      <c r="V4" s="6" t="s">
        <v>696</v>
      </c>
      <c r="W4" s="5">
        <f>COUNTIFS(Deviation!$B$2:$B$321,"&gt;=45992",Deviation!$B$2:$B$321,"&lt;46023",Deviation!$D$2:$D$321,"Deviation")</f>
        <v>20</v>
      </c>
      <c r="X4" s="5">
        <f>COUNTIFS(Deviation!$B$2:$B$321,"&gt;=45992",Deviation!$B$2:$B$321,"&lt;46023",Deviation!$D$2:$D$321,"&lt;&gt;Deviation")</f>
        <v>8</v>
      </c>
      <c r="Y4" s="5"/>
      <c r="Z4" s="5" t="s">
        <v>34</v>
      </c>
      <c r="AA4" s="5">
        <f>COUNTIFS(Deviation!$C$2:$C$321,Z4,Deviation!$G$2:$G$321,"&lt;&gt;Closed")</f>
        <v>15</v>
      </c>
      <c r="AB4" s="5"/>
      <c r="AC4" s="5" t="s">
        <v>23</v>
      </c>
      <c r="AD4" s="5">
        <f>COUNTIFS(CAPA!$E$2:$E$181,AC4)</f>
        <v>28</v>
      </c>
      <c r="AE4" s="5"/>
      <c r="AF4" s="5" t="s">
        <v>360</v>
      </c>
      <c r="AG4" s="5">
        <f>COUNTIFS(Documents!$E$2:$E$141,AF4)</f>
        <v>27</v>
      </c>
      <c r="AH4" s="5"/>
      <c r="AI4" s="5" t="s">
        <v>44</v>
      </c>
      <c r="AJ4" s="5">
        <f>COUNTIFS(Deviation!$F$2:$F$321,AI4)</f>
        <v>67</v>
      </c>
    </row>
    <row r="5" spans="2:36" x14ac:dyDescent="0.35">
      <c r="B5" s="10">
        <f>COUNTA(Deviation!A2:A321)</f>
        <v>320</v>
      </c>
      <c r="C5" s="9"/>
      <c r="D5" s="15"/>
      <c r="E5" s="13">
        <f>COUNTIFS(Deviation!G2:G321,"&lt;&gt;Closed")</f>
        <v>103</v>
      </c>
      <c r="F5" s="9"/>
      <c r="G5" s="15"/>
      <c r="H5" s="18">
        <f>COUNTIFS(CAPA!E2:E181,"Overdue")</f>
        <v>28</v>
      </c>
      <c r="I5" s="9"/>
      <c r="J5" s="15"/>
      <c r="K5" s="22">
        <f>COUNTIFS(Deviation!I2:I321,"Yes")/(COUNTIFS(Deviation!I2:I321,"Yes")+COUNTIFS(Deviation!I2:I321,"No"))</f>
        <v>0.60368663594470051</v>
      </c>
      <c r="L5" s="9"/>
      <c r="M5" s="15"/>
      <c r="N5" s="10">
        <f>COUNTIFS(Deviation!D2:D321,"&lt;&gt;Deviation")</f>
        <v>95</v>
      </c>
      <c r="O5" s="9"/>
      <c r="P5" s="15"/>
      <c r="Q5" s="18">
        <f>COUNTIFS(Documents!E2:E141,"Pending")+COUNTIFS(Documents!E2:E141,"Overdue")</f>
        <v>54</v>
      </c>
      <c r="R5" s="9"/>
      <c r="S5" s="9"/>
      <c r="V5" s="6" t="s">
        <v>697</v>
      </c>
      <c r="W5" s="5">
        <f>COUNTIFS(Deviation!$B$2:$B$321,"&gt;=46023",Deviation!$B$2:$B$321,"&lt;46054",Deviation!$D$2:$D$321,"Deviation")</f>
        <v>18</v>
      </c>
      <c r="X5" s="5">
        <f>COUNTIFS(Deviation!$B$2:$B$321,"&gt;=46023",Deviation!$B$2:$B$321,"&lt;46054",Deviation!$D$2:$D$321,"&lt;&gt;Deviation")</f>
        <v>8</v>
      </c>
      <c r="Y5" s="5"/>
      <c r="Z5" s="5" t="s">
        <v>17</v>
      </c>
      <c r="AA5" s="5">
        <f>COUNTIFS(Deviation!$C$2:$C$321,Z5,Deviation!$G$2:$G$321,"&lt;&gt;Closed")</f>
        <v>19</v>
      </c>
      <c r="AB5" s="5"/>
      <c r="AC5" s="5"/>
      <c r="AD5" s="5"/>
      <c r="AE5" s="5"/>
      <c r="AF5" s="5" t="s">
        <v>23</v>
      </c>
      <c r="AG5" s="5">
        <f>COUNTIFS(Documents!$E$2:$E$141,AF5)</f>
        <v>27</v>
      </c>
      <c r="AH5" s="5"/>
      <c r="AI5" s="5" t="s">
        <v>31</v>
      </c>
      <c r="AJ5" s="5">
        <f>COUNTIFS(Deviation!$F$2:$F$321,AI5)</f>
        <v>58</v>
      </c>
    </row>
    <row r="6" spans="2:36" x14ac:dyDescent="0.35">
      <c r="B6" s="9"/>
      <c r="C6" s="9"/>
      <c r="D6" s="15"/>
      <c r="E6" s="9"/>
      <c r="F6" s="9"/>
      <c r="G6" s="15"/>
      <c r="H6" s="9"/>
      <c r="I6" s="9"/>
      <c r="J6" s="15"/>
      <c r="K6" s="9"/>
      <c r="L6" s="9"/>
      <c r="M6" s="15"/>
      <c r="N6" s="9"/>
      <c r="O6" s="9"/>
      <c r="P6" s="15"/>
      <c r="Q6" s="9"/>
      <c r="R6" s="9"/>
      <c r="S6" s="9"/>
      <c r="V6" s="6" t="s">
        <v>698</v>
      </c>
      <c r="W6" s="5">
        <f>COUNTIFS(Deviation!$B$2:$B$321,"&gt;=46054",Deviation!$B$2:$B$321,"&lt;46082",Deviation!$D$2:$D$321,"Deviation")</f>
        <v>15</v>
      </c>
      <c r="X6" s="5">
        <f>COUNTIFS(Deviation!$B$2:$B$321,"&gt;=46054",Deviation!$B$2:$B$321,"&lt;46082",Deviation!$D$2:$D$321,"&lt;&gt;Deviation")</f>
        <v>8</v>
      </c>
      <c r="Y6" s="5"/>
      <c r="Z6" s="5" t="s">
        <v>10</v>
      </c>
      <c r="AA6" s="5">
        <f>COUNTIFS(Deviation!$C$2:$C$321,Z6,Deviation!$G$2:$G$321,"&lt;&gt;Closed")</f>
        <v>18</v>
      </c>
      <c r="AB6" s="5"/>
      <c r="AC6" s="5"/>
      <c r="AD6" s="5"/>
      <c r="AE6" s="5"/>
      <c r="AF6" s="5"/>
      <c r="AG6" s="5"/>
      <c r="AH6" s="5"/>
      <c r="AI6" s="5" t="s">
        <v>26</v>
      </c>
      <c r="AJ6" s="5">
        <f>COUNTIFS(Deviation!$F$2:$F$321,AI6)</f>
        <v>62</v>
      </c>
    </row>
    <row r="7" spans="2:36" x14ac:dyDescent="0.35">
      <c r="V7" s="6" t="s">
        <v>699</v>
      </c>
      <c r="W7" s="5">
        <f>COUNTIFS(Deviation!$B$2:$B$321,"&gt;=46082",Deviation!$B$2:$B$321,"&lt;46113",Deviation!$D$2:$D$321,"Deviation")</f>
        <v>21</v>
      </c>
      <c r="X7" s="5">
        <f>COUNTIFS(Deviation!$B$2:$B$321,"&gt;=46082",Deviation!$B$2:$B$321,"&lt;46113",Deviation!$D$2:$D$321,"&lt;&gt;Deviation")</f>
        <v>11</v>
      </c>
      <c r="Y7" s="5"/>
      <c r="Z7" s="5" t="s">
        <v>28</v>
      </c>
      <c r="AA7" s="5">
        <f>COUNTIFS(Deviation!$C$2:$C$321,Z7,Deviation!$G$2:$G$321,"&lt;&gt;Closed")</f>
        <v>16</v>
      </c>
      <c r="AB7" s="5"/>
      <c r="AC7" s="5"/>
      <c r="AD7" s="5"/>
      <c r="AE7" s="5"/>
      <c r="AF7" s="5"/>
      <c r="AG7" s="5"/>
      <c r="AH7" s="5"/>
      <c r="AI7" s="5"/>
      <c r="AJ7" s="5"/>
    </row>
    <row r="8" spans="2:36" x14ac:dyDescent="0.35">
      <c r="V8" s="6" t="s">
        <v>700</v>
      </c>
      <c r="W8" s="5">
        <f>COUNTIFS(Deviation!$B$2:$B$321,"&gt;=46113",Deviation!$B$2:$B$321,"&lt;46143",Deviation!$D$2:$D$321,"Deviation")</f>
        <v>22</v>
      </c>
      <c r="X8" s="5">
        <f>COUNTIFS(Deviation!$B$2:$B$321,"&gt;=46113",Deviation!$B$2:$B$321,"&lt;46143",Deviation!$D$2:$D$321,"&lt;&gt;Deviation")</f>
        <v>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2:36" x14ac:dyDescent="0.35">
      <c r="V9" s="6" t="s">
        <v>701</v>
      </c>
      <c r="W9" s="5">
        <f>COUNTIFS(Deviation!$B$2:$B$321,"&gt;=46143",Deviation!$B$2:$B$321,"&lt;46174",Deviation!$D$2:$D$321,"Deviation")</f>
        <v>18</v>
      </c>
      <c r="X9" s="5">
        <f>COUNTIFS(Deviation!$B$2:$B$321,"&gt;=46143",Deviation!$B$2:$B$321,"&lt;46174",Deviation!$D$2:$D$321,"&lt;&gt;Deviation")</f>
        <v>8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2:36" x14ac:dyDescent="0.35">
      <c r="V10" s="6" t="s">
        <v>702</v>
      </c>
      <c r="W10" s="5">
        <f>COUNTIFS(Deviation!$B$2:$B$321,"&gt;=46174",Deviation!$B$2:$B$321,"&lt;46204",Deviation!$D$2:$D$321,"Deviation")</f>
        <v>25</v>
      </c>
      <c r="X10" s="5">
        <f>COUNTIFS(Deviation!$B$2:$B$321,"&gt;=46174",Deviation!$B$2:$B$321,"&lt;46204",Deviation!$D$2:$D$321,"&lt;&gt;Deviation")</f>
        <v>8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2:36" x14ac:dyDescent="0.35">
      <c r="V11" s="6" t="s">
        <v>703</v>
      </c>
      <c r="W11" s="5">
        <f>COUNTIFS(Deviation!$B$2:$B$321,"&gt;=46204",Deviation!$B$2:$B$321,"&lt;46235",Deviation!$D$2:$D$321,"Deviation")</f>
        <v>14</v>
      </c>
      <c r="X11" s="5">
        <f>COUNTIFS(Deviation!$B$2:$B$321,"&gt;=46204",Deviation!$B$2:$B$321,"&lt;46235",Deviation!$D$2:$D$321,"&lt;&gt;Deviation")</f>
        <v>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2:36" x14ac:dyDescent="0.35">
      <c r="V12" s="6" t="s">
        <v>704</v>
      </c>
      <c r="W12" s="5">
        <f>COUNTIFS(Deviation!$B$2:$B$321,"&gt;=46235",Deviation!$B$2:$B$321,"&lt;46266",Deviation!$D$2:$D$321,"Deviation")</f>
        <v>17</v>
      </c>
      <c r="X12" s="5">
        <f>COUNTIFS(Deviation!$B$2:$B$321,"&gt;=46235",Deviation!$B$2:$B$321,"&lt;46266",Deviation!$D$2:$D$321,"&lt;&gt;Deviation")</f>
        <v>3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2:36" x14ac:dyDescent="0.35">
      <c r="V13" s="6" t="s">
        <v>705</v>
      </c>
      <c r="W13" s="5">
        <f>COUNTIFS(Deviation!$B$2:$B$321,"&gt;=46266",Deviation!$B$2:$B$321,"&lt;46296",Deviation!$D$2:$D$321,"Deviation")</f>
        <v>18</v>
      </c>
      <c r="X13" s="5">
        <f>COUNTIFS(Deviation!$B$2:$B$321,"&gt;=46266",Deviation!$B$2:$B$321,"&lt;46296",Deviation!$D$2:$D$321,"&lt;&gt;Deviation")</f>
        <v>11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40" spans="2:19" x14ac:dyDescent="0.35">
      <c r="B40" s="27" t="s">
        <v>723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</row>
    <row r="41" spans="2:19" x14ac:dyDescent="0.35">
      <c r="B41" s="30" t="str">
        <f>"1. Highest pending load: "&amp;INDEX(Z2:Z7,MATCH(MAX(AA2:AA7),AA2:AA7,0))&amp;" department ("&amp;MAX(AA2:AA7)&amp;" open/overdue records) - prioritise closure follow-up."</f>
        <v>1. Highest pending load: Warehouse department (19 open/overdue records) - prioritise closure follow-up.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</row>
    <row r="42" spans="2:19" x14ac:dyDescent="0.35">
      <c r="B42" s="30" t="str">
        <f>"2. Most frequent root cause: "&amp;INDEX(AI2:AI6,MATCH(MAX(AJ2:AJ6),AJ2:AJ6,0))&amp;" ("&amp;MAX(AJ2:AJ6)&amp;" records) - target training / process fix here."</f>
        <v>2. Most frequent root cause: Human error (69 records) - target training / process fix here.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</row>
    <row r="43" spans="2:19" x14ac:dyDescent="0.35">
      <c r="B43" s="30" t="str">
        <f>"3. "&amp;AD4&amp;" CAPAs are overdue ("&amp;TEXT(AD4/SUM(AD2:AD4),"0%")&amp;" of all CAPAs) - escalate for effectiveness review."</f>
        <v>3. 28 CAPAs are overdue (16% of all CAPAs) - escalate for effectiveness review.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</row>
    <row r="44" spans="2:19" x14ac:dyDescent="0.35">
      <c r="B44" s="30" t="str">
        <f>"4. "&amp;AG4+AG5&amp;" controlled documents are pending/overdue for review - plan periodic review cycle for MOA and specifications."</f>
        <v>4. 54 controlled documents are pending/overdue for review - plan periodic review cycle for MOA and specifications.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</row>
    <row r="46" spans="2:19" x14ac:dyDescent="0.35">
      <c r="B46" s="31" t="s">
        <v>724</v>
      </c>
    </row>
  </sheetData>
  <mergeCells count="18">
    <mergeCell ref="B43:S43"/>
    <mergeCell ref="B44:S44"/>
    <mergeCell ref="N5:P6"/>
    <mergeCell ref="Q4:S4"/>
    <mergeCell ref="Q5:S6"/>
    <mergeCell ref="B40:S40"/>
    <mergeCell ref="B41:S41"/>
    <mergeCell ref="B42:S42"/>
    <mergeCell ref="B1:S2"/>
    <mergeCell ref="B4:D4"/>
    <mergeCell ref="B5:D6"/>
    <mergeCell ref="E4:G4"/>
    <mergeCell ref="E5:G6"/>
    <mergeCell ref="H4:J4"/>
    <mergeCell ref="H5:J6"/>
    <mergeCell ref="K4:M4"/>
    <mergeCell ref="K5:M6"/>
    <mergeCell ref="N4:P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AA0C-C3AD-4C6C-B327-7EEEEC50ED03}">
  <dimension ref="A1:I321"/>
  <sheetViews>
    <sheetView workbookViewId="0"/>
  </sheetViews>
  <sheetFormatPr defaultRowHeight="14.5" x14ac:dyDescent="0.35"/>
  <cols>
    <col min="1" max="1" width="9.453125" bestFit="1" customWidth="1"/>
    <col min="2" max="2" width="11.7265625" bestFit="1" customWidth="1"/>
    <col min="3" max="3" width="10.54296875" bestFit="1" customWidth="1"/>
    <col min="5" max="5" width="7.453125" bestFit="1" customWidth="1"/>
    <col min="6" max="6" width="13.81640625" bestFit="1" customWidth="1"/>
    <col min="7" max="7" width="8" bestFit="1" customWidth="1"/>
    <col min="8" max="8" width="10.36328125" bestFit="1" customWidth="1"/>
    <col min="9" max="9" width="1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s="2">
        <v>46200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8</v>
      </c>
      <c r="I2" t="s">
        <v>15</v>
      </c>
    </row>
    <row r="3" spans="1:9" x14ac:dyDescent="0.35">
      <c r="A3" t="s">
        <v>16</v>
      </c>
      <c r="B3" s="2">
        <v>46210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>
        <v>44</v>
      </c>
      <c r="I3" t="s">
        <v>20</v>
      </c>
    </row>
    <row r="4" spans="1:9" x14ac:dyDescent="0.35">
      <c r="A4" t="s">
        <v>21</v>
      </c>
      <c r="B4" s="2">
        <v>46084</v>
      </c>
      <c r="C4" t="s">
        <v>17</v>
      </c>
      <c r="D4" t="s">
        <v>11</v>
      </c>
      <c r="E4" t="s">
        <v>22</v>
      </c>
      <c r="F4" t="s">
        <v>13</v>
      </c>
      <c r="G4" t="s">
        <v>23</v>
      </c>
      <c r="H4">
        <v>46</v>
      </c>
      <c r="I4" t="s">
        <v>15</v>
      </c>
    </row>
    <row r="5" spans="1:9" x14ac:dyDescent="0.35">
      <c r="A5" t="s">
        <v>24</v>
      </c>
      <c r="B5" s="2">
        <v>46104</v>
      </c>
      <c r="C5" t="s">
        <v>10</v>
      </c>
      <c r="D5" t="s">
        <v>25</v>
      </c>
      <c r="E5" t="s">
        <v>22</v>
      </c>
      <c r="F5" t="s">
        <v>26</v>
      </c>
      <c r="G5" t="s">
        <v>23</v>
      </c>
      <c r="H5">
        <v>42</v>
      </c>
      <c r="I5" t="s">
        <v>15</v>
      </c>
    </row>
    <row r="6" spans="1:9" x14ac:dyDescent="0.35">
      <c r="A6" t="s">
        <v>27</v>
      </c>
      <c r="B6" s="2">
        <v>46272</v>
      </c>
      <c r="C6" t="s">
        <v>28</v>
      </c>
      <c r="D6" t="s">
        <v>25</v>
      </c>
      <c r="E6" t="s">
        <v>12</v>
      </c>
      <c r="F6" t="s">
        <v>26</v>
      </c>
      <c r="G6" t="s">
        <v>19</v>
      </c>
      <c r="H6">
        <v>42</v>
      </c>
      <c r="I6" t="s">
        <v>20</v>
      </c>
    </row>
    <row r="7" spans="1:9" x14ac:dyDescent="0.35">
      <c r="A7" t="s">
        <v>29</v>
      </c>
      <c r="B7" s="2">
        <v>46152</v>
      </c>
      <c r="C7" t="s">
        <v>30</v>
      </c>
      <c r="D7" t="s">
        <v>11</v>
      </c>
      <c r="E7" t="s">
        <v>12</v>
      </c>
      <c r="F7" t="s">
        <v>31</v>
      </c>
      <c r="G7" t="s">
        <v>19</v>
      </c>
      <c r="H7">
        <v>45</v>
      </c>
      <c r="I7" t="s">
        <v>20</v>
      </c>
    </row>
    <row r="8" spans="1:9" x14ac:dyDescent="0.35">
      <c r="A8" t="s">
        <v>32</v>
      </c>
      <c r="B8" s="2">
        <v>46194</v>
      </c>
      <c r="C8" t="s">
        <v>10</v>
      </c>
      <c r="D8" t="s">
        <v>11</v>
      </c>
      <c r="E8" t="s">
        <v>12</v>
      </c>
      <c r="F8" t="s">
        <v>26</v>
      </c>
      <c r="G8" t="s">
        <v>14</v>
      </c>
      <c r="H8">
        <v>23</v>
      </c>
      <c r="I8" t="s">
        <v>15</v>
      </c>
    </row>
    <row r="9" spans="1:9" x14ac:dyDescent="0.35">
      <c r="A9" t="s">
        <v>33</v>
      </c>
      <c r="B9" s="2">
        <v>45956</v>
      </c>
      <c r="C9" t="s">
        <v>34</v>
      </c>
      <c r="D9" t="s">
        <v>35</v>
      </c>
      <c r="E9" t="s">
        <v>12</v>
      </c>
      <c r="F9" t="s">
        <v>13</v>
      </c>
      <c r="G9" t="s">
        <v>19</v>
      </c>
      <c r="H9">
        <v>44</v>
      </c>
      <c r="I9" t="s">
        <v>20</v>
      </c>
    </row>
    <row r="10" spans="1:9" x14ac:dyDescent="0.35">
      <c r="A10" t="s">
        <v>36</v>
      </c>
      <c r="B10" s="2">
        <v>46096</v>
      </c>
      <c r="C10" t="s">
        <v>34</v>
      </c>
      <c r="D10" t="s">
        <v>11</v>
      </c>
      <c r="E10" t="s">
        <v>12</v>
      </c>
      <c r="F10" t="s">
        <v>13</v>
      </c>
      <c r="G10" t="s">
        <v>19</v>
      </c>
      <c r="H10">
        <v>20</v>
      </c>
      <c r="I10" t="s">
        <v>37</v>
      </c>
    </row>
    <row r="11" spans="1:9" x14ac:dyDescent="0.35">
      <c r="A11" t="s">
        <v>38</v>
      </c>
      <c r="B11" s="2">
        <v>46102</v>
      </c>
      <c r="C11" t="s">
        <v>30</v>
      </c>
      <c r="D11" t="s">
        <v>25</v>
      </c>
      <c r="E11" t="s">
        <v>39</v>
      </c>
      <c r="F11" t="s">
        <v>31</v>
      </c>
      <c r="G11" t="s">
        <v>19</v>
      </c>
      <c r="H11">
        <v>4</v>
      </c>
      <c r="I11" t="s">
        <v>37</v>
      </c>
    </row>
    <row r="12" spans="1:9" x14ac:dyDescent="0.35">
      <c r="A12" t="s">
        <v>40</v>
      </c>
      <c r="B12" s="2">
        <v>46046</v>
      </c>
      <c r="C12" t="s">
        <v>34</v>
      </c>
      <c r="D12" t="s">
        <v>35</v>
      </c>
      <c r="E12" t="s">
        <v>39</v>
      </c>
      <c r="F12" t="s">
        <v>26</v>
      </c>
      <c r="G12" t="s">
        <v>23</v>
      </c>
      <c r="H12">
        <v>82</v>
      </c>
      <c r="I12" t="s">
        <v>15</v>
      </c>
    </row>
    <row r="13" spans="1:9" x14ac:dyDescent="0.35">
      <c r="A13" t="s">
        <v>41</v>
      </c>
      <c r="B13" s="2">
        <v>46127</v>
      </c>
      <c r="C13" t="s">
        <v>34</v>
      </c>
      <c r="D13" t="s">
        <v>11</v>
      </c>
      <c r="E13" t="s">
        <v>12</v>
      </c>
      <c r="F13" t="s">
        <v>31</v>
      </c>
      <c r="G13" t="s">
        <v>23</v>
      </c>
      <c r="H13">
        <v>36</v>
      </c>
      <c r="I13" t="s">
        <v>15</v>
      </c>
    </row>
    <row r="14" spans="1:9" x14ac:dyDescent="0.35">
      <c r="A14" t="s">
        <v>42</v>
      </c>
      <c r="B14" s="2">
        <v>46263</v>
      </c>
      <c r="C14" t="s">
        <v>28</v>
      </c>
      <c r="D14" t="s">
        <v>11</v>
      </c>
      <c r="E14" t="s">
        <v>22</v>
      </c>
      <c r="F14" t="s">
        <v>26</v>
      </c>
      <c r="G14" t="s">
        <v>19</v>
      </c>
      <c r="H14">
        <v>16</v>
      </c>
      <c r="I14" t="s">
        <v>37</v>
      </c>
    </row>
    <row r="15" spans="1:9" x14ac:dyDescent="0.35">
      <c r="A15" t="s">
        <v>43</v>
      </c>
      <c r="B15" s="2">
        <v>46219</v>
      </c>
      <c r="C15" t="s">
        <v>17</v>
      </c>
      <c r="D15" t="s">
        <v>11</v>
      </c>
      <c r="E15" t="s">
        <v>22</v>
      </c>
      <c r="F15" t="s">
        <v>44</v>
      </c>
      <c r="G15" t="s">
        <v>19</v>
      </c>
      <c r="H15">
        <v>28</v>
      </c>
      <c r="I15" t="s">
        <v>37</v>
      </c>
    </row>
    <row r="16" spans="1:9" x14ac:dyDescent="0.35">
      <c r="A16" t="s">
        <v>45</v>
      </c>
      <c r="B16" s="2">
        <v>46171</v>
      </c>
      <c r="C16" t="s">
        <v>46</v>
      </c>
      <c r="D16" t="s">
        <v>25</v>
      </c>
      <c r="E16" t="s">
        <v>22</v>
      </c>
      <c r="F16" t="s">
        <v>13</v>
      </c>
      <c r="G16" t="s">
        <v>14</v>
      </c>
      <c r="H16">
        <v>17</v>
      </c>
      <c r="I16" t="s">
        <v>15</v>
      </c>
    </row>
    <row r="17" spans="1:9" x14ac:dyDescent="0.35">
      <c r="A17" t="s">
        <v>47</v>
      </c>
      <c r="B17" s="2">
        <v>46014</v>
      </c>
      <c r="C17" t="s">
        <v>30</v>
      </c>
      <c r="D17" t="s">
        <v>11</v>
      </c>
      <c r="E17" t="s">
        <v>12</v>
      </c>
      <c r="F17" t="s">
        <v>31</v>
      </c>
      <c r="G17" t="s">
        <v>23</v>
      </c>
      <c r="H17">
        <v>77</v>
      </c>
      <c r="I17" t="s">
        <v>15</v>
      </c>
    </row>
    <row r="18" spans="1:9" x14ac:dyDescent="0.35">
      <c r="A18" t="s">
        <v>48</v>
      </c>
      <c r="B18" s="2">
        <v>45954</v>
      </c>
      <c r="C18" t="s">
        <v>28</v>
      </c>
      <c r="D18" t="s">
        <v>11</v>
      </c>
      <c r="E18" t="s">
        <v>22</v>
      </c>
      <c r="F18" t="s">
        <v>26</v>
      </c>
      <c r="G18" t="s">
        <v>14</v>
      </c>
      <c r="H18">
        <v>16</v>
      </c>
      <c r="I18" t="s">
        <v>15</v>
      </c>
    </row>
    <row r="19" spans="1:9" x14ac:dyDescent="0.35">
      <c r="A19" t="s">
        <v>49</v>
      </c>
      <c r="B19" s="2">
        <v>46200</v>
      </c>
      <c r="C19" t="s">
        <v>28</v>
      </c>
      <c r="D19" t="s">
        <v>11</v>
      </c>
      <c r="E19" t="s">
        <v>12</v>
      </c>
      <c r="F19" t="s">
        <v>31</v>
      </c>
      <c r="G19" t="s">
        <v>19</v>
      </c>
      <c r="H19">
        <v>31</v>
      </c>
      <c r="I19" t="s">
        <v>20</v>
      </c>
    </row>
    <row r="20" spans="1:9" x14ac:dyDescent="0.35">
      <c r="A20" t="s">
        <v>50</v>
      </c>
      <c r="B20" s="2">
        <v>46063</v>
      </c>
      <c r="C20" t="s">
        <v>46</v>
      </c>
      <c r="D20" t="s">
        <v>11</v>
      </c>
      <c r="E20" t="s">
        <v>12</v>
      </c>
      <c r="F20" t="s">
        <v>44</v>
      </c>
      <c r="G20" t="s">
        <v>19</v>
      </c>
      <c r="H20">
        <v>16</v>
      </c>
      <c r="I20" t="s">
        <v>37</v>
      </c>
    </row>
    <row r="21" spans="1:9" x14ac:dyDescent="0.35">
      <c r="A21" t="s">
        <v>51</v>
      </c>
      <c r="B21" s="2">
        <v>46219</v>
      </c>
      <c r="C21" t="s">
        <v>30</v>
      </c>
      <c r="D21" t="s">
        <v>11</v>
      </c>
      <c r="E21" t="s">
        <v>22</v>
      </c>
      <c r="F21" t="s">
        <v>44</v>
      </c>
      <c r="G21" t="s">
        <v>23</v>
      </c>
      <c r="H21">
        <v>78</v>
      </c>
      <c r="I21" t="s">
        <v>15</v>
      </c>
    </row>
    <row r="22" spans="1:9" x14ac:dyDescent="0.35">
      <c r="A22" t="s">
        <v>52</v>
      </c>
      <c r="B22" s="2">
        <v>46045</v>
      </c>
      <c r="C22" t="s">
        <v>10</v>
      </c>
      <c r="D22" t="s">
        <v>11</v>
      </c>
      <c r="E22" t="s">
        <v>12</v>
      </c>
      <c r="F22" t="s">
        <v>18</v>
      </c>
      <c r="G22" t="s">
        <v>14</v>
      </c>
      <c r="H22">
        <v>22</v>
      </c>
      <c r="I22" t="s">
        <v>15</v>
      </c>
    </row>
    <row r="23" spans="1:9" x14ac:dyDescent="0.35">
      <c r="A23" t="s">
        <v>53</v>
      </c>
      <c r="B23" s="2">
        <v>46181</v>
      </c>
      <c r="C23" t="s">
        <v>10</v>
      </c>
      <c r="D23" t="s">
        <v>11</v>
      </c>
      <c r="E23" t="s">
        <v>12</v>
      </c>
      <c r="F23" t="s">
        <v>13</v>
      </c>
      <c r="G23" t="s">
        <v>19</v>
      </c>
      <c r="H23">
        <v>41</v>
      </c>
      <c r="I23" t="s">
        <v>20</v>
      </c>
    </row>
    <row r="24" spans="1:9" x14ac:dyDescent="0.35">
      <c r="A24" t="s">
        <v>54</v>
      </c>
      <c r="B24" s="2">
        <v>46145</v>
      </c>
      <c r="C24" t="s">
        <v>46</v>
      </c>
      <c r="D24" t="s">
        <v>11</v>
      </c>
      <c r="E24" t="s">
        <v>22</v>
      </c>
      <c r="F24" t="s">
        <v>13</v>
      </c>
      <c r="G24" t="s">
        <v>19</v>
      </c>
      <c r="H24">
        <v>44</v>
      </c>
      <c r="I24" t="s">
        <v>20</v>
      </c>
    </row>
    <row r="25" spans="1:9" x14ac:dyDescent="0.35">
      <c r="A25" t="s">
        <v>55</v>
      </c>
      <c r="B25" s="2">
        <v>46071</v>
      </c>
      <c r="C25" t="s">
        <v>28</v>
      </c>
      <c r="D25" t="s">
        <v>11</v>
      </c>
      <c r="E25" t="s">
        <v>22</v>
      </c>
      <c r="F25" t="s">
        <v>26</v>
      </c>
      <c r="G25" t="s">
        <v>19</v>
      </c>
      <c r="H25">
        <v>10</v>
      </c>
      <c r="I25" t="s">
        <v>37</v>
      </c>
    </row>
    <row r="26" spans="1:9" x14ac:dyDescent="0.35">
      <c r="A26" t="s">
        <v>56</v>
      </c>
      <c r="B26" s="2">
        <v>46063</v>
      </c>
      <c r="C26" t="s">
        <v>17</v>
      </c>
      <c r="D26" t="s">
        <v>25</v>
      </c>
      <c r="E26" t="s">
        <v>12</v>
      </c>
      <c r="F26" t="s">
        <v>44</v>
      </c>
      <c r="G26" t="s">
        <v>19</v>
      </c>
      <c r="H26">
        <v>6</v>
      </c>
      <c r="I26" t="s">
        <v>37</v>
      </c>
    </row>
    <row r="27" spans="1:9" x14ac:dyDescent="0.35">
      <c r="A27" t="s">
        <v>57</v>
      </c>
      <c r="B27" s="2">
        <v>46049</v>
      </c>
      <c r="C27" t="s">
        <v>10</v>
      </c>
      <c r="D27" t="s">
        <v>35</v>
      </c>
      <c r="E27" t="s">
        <v>12</v>
      </c>
      <c r="F27" t="s">
        <v>26</v>
      </c>
      <c r="G27" t="s">
        <v>19</v>
      </c>
      <c r="H27">
        <v>20</v>
      </c>
      <c r="I27" t="s">
        <v>37</v>
      </c>
    </row>
    <row r="28" spans="1:9" x14ac:dyDescent="0.35">
      <c r="A28" t="s">
        <v>58</v>
      </c>
      <c r="B28" s="2">
        <v>45964</v>
      </c>
      <c r="C28" t="s">
        <v>28</v>
      </c>
      <c r="D28" t="s">
        <v>11</v>
      </c>
      <c r="E28" t="s">
        <v>22</v>
      </c>
      <c r="F28" t="s">
        <v>18</v>
      </c>
      <c r="G28" t="s">
        <v>19</v>
      </c>
      <c r="H28">
        <v>43</v>
      </c>
      <c r="I28" t="s">
        <v>20</v>
      </c>
    </row>
    <row r="29" spans="1:9" x14ac:dyDescent="0.35">
      <c r="A29" t="s">
        <v>59</v>
      </c>
      <c r="B29" s="2">
        <v>46183</v>
      </c>
      <c r="C29" t="s">
        <v>10</v>
      </c>
      <c r="D29" t="s">
        <v>11</v>
      </c>
      <c r="E29" t="s">
        <v>22</v>
      </c>
      <c r="F29" t="s">
        <v>18</v>
      </c>
      <c r="G29" t="s">
        <v>14</v>
      </c>
      <c r="H29">
        <v>12</v>
      </c>
      <c r="I29" t="s">
        <v>15</v>
      </c>
    </row>
    <row r="30" spans="1:9" x14ac:dyDescent="0.35">
      <c r="A30" t="s">
        <v>60</v>
      </c>
      <c r="B30" s="2">
        <v>46182</v>
      </c>
      <c r="C30" t="s">
        <v>28</v>
      </c>
      <c r="D30" t="s">
        <v>25</v>
      </c>
      <c r="E30" t="s">
        <v>22</v>
      </c>
      <c r="F30" t="s">
        <v>13</v>
      </c>
      <c r="G30" t="s">
        <v>19</v>
      </c>
      <c r="H30">
        <v>7</v>
      </c>
      <c r="I30" t="s">
        <v>37</v>
      </c>
    </row>
    <row r="31" spans="1:9" x14ac:dyDescent="0.35">
      <c r="A31" t="s">
        <v>61</v>
      </c>
      <c r="B31" s="2">
        <v>45993</v>
      </c>
      <c r="C31" t="s">
        <v>17</v>
      </c>
      <c r="D31" t="s">
        <v>25</v>
      </c>
      <c r="E31" t="s">
        <v>12</v>
      </c>
      <c r="F31" t="s">
        <v>13</v>
      </c>
      <c r="G31" t="s">
        <v>23</v>
      </c>
      <c r="H31">
        <v>55</v>
      </c>
      <c r="I31" t="s">
        <v>15</v>
      </c>
    </row>
    <row r="32" spans="1:9" x14ac:dyDescent="0.35">
      <c r="A32" t="s">
        <v>62</v>
      </c>
      <c r="B32" s="2">
        <v>46172</v>
      </c>
      <c r="C32" t="s">
        <v>17</v>
      </c>
      <c r="D32" t="s">
        <v>11</v>
      </c>
      <c r="E32" t="s">
        <v>12</v>
      </c>
      <c r="F32" t="s">
        <v>44</v>
      </c>
      <c r="G32" t="s">
        <v>19</v>
      </c>
      <c r="H32">
        <v>16</v>
      </c>
      <c r="I32" t="s">
        <v>37</v>
      </c>
    </row>
    <row r="33" spans="1:9" x14ac:dyDescent="0.35">
      <c r="A33" t="s">
        <v>63</v>
      </c>
      <c r="B33" s="2">
        <v>46005</v>
      </c>
      <c r="C33" t="s">
        <v>17</v>
      </c>
      <c r="D33" t="s">
        <v>11</v>
      </c>
      <c r="E33" t="s">
        <v>12</v>
      </c>
      <c r="F33" t="s">
        <v>44</v>
      </c>
      <c r="G33" t="s">
        <v>19</v>
      </c>
      <c r="H33">
        <v>21</v>
      </c>
      <c r="I33" t="s">
        <v>37</v>
      </c>
    </row>
    <row r="34" spans="1:9" x14ac:dyDescent="0.35">
      <c r="A34" t="s">
        <v>64</v>
      </c>
      <c r="B34" s="2">
        <v>46158</v>
      </c>
      <c r="C34" t="s">
        <v>30</v>
      </c>
      <c r="D34" t="s">
        <v>35</v>
      </c>
      <c r="E34" t="s">
        <v>22</v>
      </c>
      <c r="F34" t="s">
        <v>13</v>
      </c>
      <c r="G34" t="s">
        <v>19</v>
      </c>
      <c r="H34">
        <v>38</v>
      </c>
      <c r="I34" t="s">
        <v>20</v>
      </c>
    </row>
    <row r="35" spans="1:9" x14ac:dyDescent="0.35">
      <c r="A35" t="s">
        <v>65</v>
      </c>
      <c r="B35" s="2">
        <v>46172</v>
      </c>
      <c r="C35" t="s">
        <v>28</v>
      </c>
      <c r="D35" t="s">
        <v>25</v>
      </c>
      <c r="E35" t="s">
        <v>39</v>
      </c>
      <c r="F35" t="s">
        <v>44</v>
      </c>
      <c r="G35" t="s">
        <v>23</v>
      </c>
      <c r="H35">
        <v>40</v>
      </c>
      <c r="I35" t="s">
        <v>15</v>
      </c>
    </row>
    <row r="36" spans="1:9" x14ac:dyDescent="0.35">
      <c r="A36" t="s">
        <v>66</v>
      </c>
      <c r="B36" s="2">
        <v>46270</v>
      </c>
      <c r="C36" t="s">
        <v>10</v>
      </c>
      <c r="D36" t="s">
        <v>25</v>
      </c>
      <c r="E36" t="s">
        <v>39</v>
      </c>
      <c r="F36" t="s">
        <v>31</v>
      </c>
      <c r="G36" t="s">
        <v>19</v>
      </c>
      <c r="H36">
        <v>26</v>
      </c>
      <c r="I36" t="s">
        <v>37</v>
      </c>
    </row>
    <row r="37" spans="1:9" x14ac:dyDescent="0.35">
      <c r="A37" t="s">
        <v>67</v>
      </c>
      <c r="B37" s="2">
        <v>46087</v>
      </c>
      <c r="C37" t="s">
        <v>28</v>
      </c>
      <c r="D37" t="s">
        <v>35</v>
      </c>
      <c r="E37" t="s">
        <v>22</v>
      </c>
      <c r="F37" t="s">
        <v>44</v>
      </c>
      <c r="G37" t="s">
        <v>19</v>
      </c>
      <c r="H37">
        <v>43</v>
      </c>
      <c r="I37" t="s">
        <v>20</v>
      </c>
    </row>
    <row r="38" spans="1:9" x14ac:dyDescent="0.35">
      <c r="A38" t="s">
        <v>68</v>
      </c>
      <c r="B38" s="2">
        <v>46018</v>
      </c>
      <c r="C38" t="s">
        <v>28</v>
      </c>
      <c r="D38" t="s">
        <v>11</v>
      </c>
      <c r="E38" t="s">
        <v>12</v>
      </c>
      <c r="F38" t="s">
        <v>44</v>
      </c>
      <c r="G38" t="s">
        <v>14</v>
      </c>
      <c r="H38">
        <v>5</v>
      </c>
      <c r="I38" t="s">
        <v>15</v>
      </c>
    </row>
    <row r="39" spans="1:9" x14ac:dyDescent="0.35">
      <c r="A39" t="s">
        <v>69</v>
      </c>
      <c r="B39" s="2">
        <v>46052</v>
      </c>
      <c r="C39" t="s">
        <v>10</v>
      </c>
      <c r="D39" t="s">
        <v>11</v>
      </c>
      <c r="E39" t="s">
        <v>22</v>
      </c>
      <c r="F39" t="s">
        <v>13</v>
      </c>
      <c r="G39" t="s">
        <v>19</v>
      </c>
      <c r="H39">
        <v>31</v>
      </c>
      <c r="I39" t="s">
        <v>20</v>
      </c>
    </row>
    <row r="40" spans="1:9" x14ac:dyDescent="0.35">
      <c r="A40" t="s">
        <v>70</v>
      </c>
      <c r="B40" s="2">
        <v>46187</v>
      </c>
      <c r="C40" t="s">
        <v>30</v>
      </c>
      <c r="D40" t="s">
        <v>11</v>
      </c>
      <c r="E40" t="s">
        <v>12</v>
      </c>
      <c r="F40" t="s">
        <v>18</v>
      </c>
      <c r="G40" t="s">
        <v>19</v>
      </c>
      <c r="H40">
        <v>8</v>
      </c>
      <c r="I40" t="s">
        <v>37</v>
      </c>
    </row>
    <row r="41" spans="1:9" x14ac:dyDescent="0.35">
      <c r="A41" t="s">
        <v>71</v>
      </c>
      <c r="B41" s="2">
        <v>46107</v>
      </c>
      <c r="C41" t="s">
        <v>17</v>
      </c>
      <c r="D41" t="s">
        <v>11</v>
      </c>
      <c r="E41" t="s">
        <v>12</v>
      </c>
      <c r="F41" t="s">
        <v>26</v>
      </c>
      <c r="G41" t="s">
        <v>19</v>
      </c>
      <c r="H41">
        <v>17</v>
      </c>
      <c r="I41" t="s">
        <v>37</v>
      </c>
    </row>
    <row r="42" spans="1:9" x14ac:dyDescent="0.35">
      <c r="A42" t="s">
        <v>72</v>
      </c>
      <c r="B42" s="2">
        <v>46047</v>
      </c>
      <c r="C42" t="s">
        <v>17</v>
      </c>
      <c r="D42" t="s">
        <v>11</v>
      </c>
      <c r="E42" t="s">
        <v>39</v>
      </c>
      <c r="F42" t="s">
        <v>31</v>
      </c>
      <c r="G42" t="s">
        <v>19</v>
      </c>
      <c r="H42">
        <v>4</v>
      </c>
      <c r="I42" t="s">
        <v>37</v>
      </c>
    </row>
    <row r="43" spans="1:9" x14ac:dyDescent="0.35">
      <c r="A43" t="s">
        <v>73</v>
      </c>
      <c r="B43" s="2">
        <v>45962</v>
      </c>
      <c r="C43" t="s">
        <v>34</v>
      </c>
      <c r="D43" t="s">
        <v>35</v>
      </c>
      <c r="E43" t="s">
        <v>12</v>
      </c>
      <c r="F43" t="s">
        <v>18</v>
      </c>
      <c r="G43" t="s">
        <v>23</v>
      </c>
      <c r="H43">
        <v>67</v>
      </c>
      <c r="I43" t="s">
        <v>15</v>
      </c>
    </row>
    <row r="44" spans="1:9" x14ac:dyDescent="0.35">
      <c r="A44" t="s">
        <v>74</v>
      </c>
      <c r="B44" s="2">
        <v>46280</v>
      </c>
      <c r="C44" t="s">
        <v>10</v>
      </c>
      <c r="D44" t="s">
        <v>11</v>
      </c>
      <c r="E44" t="s">
        <v>22</v>
      </c>
      <c r="F44" t="s">
        <v>13</v>
      </c>
      <c r="G44" t="s">
        <v>19</v>
      </c>
      <c r="H44">
        <v>27</v>
      </c>
      <c r="I44" t="s">
        <v>37</v>
      </c>
    </row>
    <row r="45" spans="1:9" x14ac:dyDescent="0.35">
      <c r="A45" t="s">
        <v>75</v>
      </c>
      <c r="B45" s="2">
        <v>46185</v>
      </c>
      <c r="C45" t="s">
        <v>30</v>
      </c>
      <c r="D45" t="s">
        <v>11</v>
      </c>
      <c r="E45" t="s">
        <v>39</v>
      </c>
      <c r="F45" t="s">
        <v>26</v>
      </c>
      <c r="G45" t="s">
        <v>14</v>
      </c>
      <c r="H45">
        <v>28</v>
      </c>
      <c r="I45" t="s">
        <v>15</v>
      </c>
    </row>
    <row r="46" spans="1:9" x14ac:dyDescent="0.35">
      <c r="A46" t="s">
        <v>76</v>
      </c>
      <c r="B46" s="2">
        <v>46103</v>
      </c>
      <c r="C46" t="s">
        <v>17</v>
      </c>
      <c r="D46" t="s">
        <v>35</v>
      </c>
      <c r="E46" t="s">
        <v>12</v>
      </c>
      <c r="F46" t="s">
        <v>18</v>
      </c>
      <c r="G46" t="s">
        <v>19</v>
      </c>
      <c r="H46">
        <v>18</v>
      </c>
      <c r="I46" t="s">
        <v>37</v>
      </c>
    </row>
    <row r="47" spans="1:9" x14ac:dyDescent="0.35">
      <c r="A47" t="s">
        <v>77</v>
      </c>
      <c r="B47" s="2">
        <v>46066</v>
      </c>
      <c r="C47" t="s">
        <v>28</v>
      </c>
      <c r="D47" t="s">
        <v>35</v>
      </c>
      <c r="E47" t="s">
        <v>39</v>
      </c>
      <c r="F47" t="s">
        <v>18</v>
      </c>
      <c r="G47" t="s">
        <v>19</v>
      </c>
      <c r="H47">
        <v>14</v>
      </c>
      <c r="I47" t="s">
        <v>37</v>
      </c>
    </row>
    <row r="48" spans="1:9" x14ac:dyDescent="0.35">
      <c r="A48" t="s">
        <v>78</v>
      </c>
      <c r="B48" s="2">
        <v>46009</v>
      </c>
      <c r="C48" t="s">
        <v>30</v>
      </c>
      <c r="D48" t="s">
        <v>11</v>
      </c>
      <c r="E48" t="s">
        <v>22</v>
      </c>
      <c r="F48" t="s">
        <v>44</v>
      </c>
      <c r="G48" t="s">
        <v>23</v>
      </c>
      <c r="H48">
        <v>86</v>
      </c>
      <c r="I48" t="s">
        <v>15</v>
      </c>
    </row>
    <row r="49" spans="1:9" x14ac:dyDescent="0.35">
      <c r="A49" t="s">
        <v>79</v>
      </c>
      <c r="B49" s="2">
        <v>46130</v>
      </c>
      <c r="C49" t="s">
        <v>17</v>
      </c>
      <c r="D49" t="s">
        <v>25</v>
      </c>
      <c r="E49" t="s">
        <v>12</v>
      </c>
      <c r="F49" t="s">
        <v>18</v>
      </c>
      <c r="G49" t="s">
        <v>19</v>
      </c>
      <c r="H49">
        <v>13</v>
      </c>
      <c r="I49" t="s">
        <v>37</v>
      </c>
    </row>
    <row r="50" spans="1:9" x14ac:dyDescent="0.35">
      <c r="A50" t="s">
        <v>80</v>
      </c>
      <c r="B50" s="2">
        <v>46262</v>
      </c>
      <c r="C50" t="s">
        <v>17</v>
      </c>
      <c r="D50" t="s">
        <v>11</v>
      </c>
      <c r="E50" t="s">
        <v>12</v>
      </c>
      <c r="F50" t="s">
        <v>18</v>
      </c>
      <c r="G50" t="s">
        <v>19</v>
      </c>
      <c r="H50">
        <v>22</v>
      </c>
      <c r="I50" t="s">
        <v>37</v>
      </c>
    </row>
    <row r="51" spans="1:9" x14ac:dyDescent="0.35">
      <c r="A51" t="s">
        <v>81</v>
      </c>
      <c r="B51" s="2">
        <v>46081</v>
      </c>
      <c r="C51" t="s">
        <v>10</v>
      </c>
      <c r="D51" t="s">
        <v>11</v>
      </c>
      <c r="E51" t="s">
        <v>22</v>
      </c>
      <c r="F51" t="s">
        <v>13</v>
      </c>
      <c r="G51" t="s">
        <v>19</v>
      </c>
      <c r="H51">
        <v>18</v>
      </c>
      <c r="I51" t="s">
        <v>37</v>
      </c>
    </row>
    <row r="52" spans="1:9" x14ac:dyDescent="0.35">
      <c r="A52" t="s">
        <v>82</v>
      </c>
      <c r="B52" s="2">
        <v>45932</v>
      </c>
      <c r="C52" t="s">
        <v>30</v>
      </c>
      <c r="D52" t="s">
        <v>11</v>
      </c>
      <c r="E52" t="s">
        <v>12</v>
      </c>
      <c r="F52" t="s">
        <v>26</v>
      </c>
      <c r="G52" t="s">
        <v>19</v>
      </c>
      <c r="H52">
        <v>12</v>
      </c>
      <c r="I52" t="s">
        <v>37</v>
      </c>
    </row>
    <row r="53" spans="1:9" x14ac:dyDescent="0.35">
      <c r="A53" t="s">
        <v>83</v>
      </c>
      <c r="B53" s="2">
        <v>46155</v>
      </c>
      <c r="C53" t="s">
        <v>46</v>
      </c>
      <c r="D53" t="s">
        <v>11</v>
      </c>
      <c r="E53" t="s">
        <v>22</v>
      </c>
      <c r="F53" t="s">
        <v>13</v>
      </c>
      <c r="G53" t="s">
        <v>19</v>
      </c>
      <c r="H53">
        <v>43</v>
      </c>
      <c r="I53" t="s">
        <v>20</v>
      </c>
    </row>
    <row r="54" spans="1:9" x14ac:dyDescent="0.35">
      <c r="A54" t="s">
        <v>84</v>
      </c>
      <c r="B54" s="2">
        <v>45974</v>
      </c>
      <c r="C54" t="s">
        <v>10</v>
      </c>
      <c r="D54" t="s">
        <v>11</v>
      </c>
      <c r="E54" t="s">
        <v>39</v>
      </c>
      <c r="F54" t="s">
        <v>44</v>
      </c>
      <c r="G54" t="s">
        <v>19</v>
      </c>
      <c r="H54">
        <v>41</v>
      </c>
      <c r="I54" t="s">
        <v>20</v>
      </c>
    </row>
    <row r="55" spans="1:9" x14ac:dyDescent="0.35">
      <c r="A55" t="s">
        <v>85</v>
      </c>
      <c r="B55" s="2">
        <v>46205</v>
      </c>
      <c r="C55" t="s">
        <v>17</v>
      </c>
      <c r="D55" t="s">
        <v>11</v>
      </c>
      <c r="E55" t="s">
        <v>22</v>
      </c>
      <c r="F55" t="s">
        <v>18</v>
      </c>
      <c r="G55" t="s">
        <v>19</v>
      </c>
      <c r="H55">
        <v>12</v>
      </c>
      <c r="I55" t="s">
        <v>37</v>
      </c>
    </row>
    <row r="56" spans="1:9" x14ac:dyDescent="0.35">
      <c r="A56" t="s">
        <v>86</v>
      </c>
      <c r="B56" s="2">
        <v>45968</v>
      </c>
      <c r="C56" t="s">
        <v>17</v>
      </c>
      <c r="D56" t="s">
        <v>11</v>
      </c>
      <c r="E56" t="s">
        <v>12</v>
      </c>
      <c r="F56" t="s">
        <v>13</v>
      </c>
      <c r="G56" t="s">
        <v>19</v>
      </c>
      <c r="H56">
        <v>8</v>
      </c>
      <c r="I56" t="s">
        <v>37</v>
      </c>
    </row>
    <row r="57" spans="1:9" x14ac:dyDescent="0.35">
      <c r="A57" t="s">
        <v>87</v>
      </c>
      <c r="B57" s="2">
        <v>46037</v>
      </c>
      <c r="C57" t="s">
        <v>46</v>
      </c>
      <c r="D57" t="s">
        <v>11</v>
      </c>
      <c r="E57" t="s">
        <v>39</v>
      </c>
      <c r="F57" t="s">
        <v>44</v>
      </c>
      <c r="G57" t="s">
        <v>14</v>
      </c>
      <c r="H57">
        <v>27</v>
      </c>
      <c r="I57" t="s">
        <v>15</v>
      </c>
    </row>
    <row r="58" spans="1:9" x14ac:dyDescent="0.35">
      <c r="A58" t="s">
        <v>88</v>
      </c>
      <c r="B58" s="2">
        <v>46186</v>
      </c>
      <c r="C58" t="s">
        <v>10</v>
      </c>
      <c r="D58" t="s">
        <v>11</v>
      </c>
      <c r="E58" t="s">
        <v>12</v>
      </c>
      <c r="F58" t="s">
        <v>18</v>
      </c>
      <c r="G58" t="s">
        <v>19</v>
      </c>
      <c r="H58">
        <v>16</v>
      </c>
      <c r="I58" t="s">
        <v>37</v>
      </c>
    </row>
    <row r="59" spans="1:9" x14ac:dyDescent="0.35">
      <c r="A59" t="s">
        <v>89</v>
      </c>
      <c r="B59" s="2">
        <v>46193</v>
      </c>
      <c r="C59" t="s">
        <v>46</v>
      </c>
      <c r="D59" t="s">
        <v>11</v>
      </c>
      <c r="E59" t="s">
        <v>39</v>
      </c>
      <c r="F59" t="s">
        <v>44</v>
      </c>
      <c r="G59" t="s">
        <v>19</v>
      </c>
      <c r="H59">
        <v>39</v>
      </c>
      <c r="I59" t="s">
        <v>20</v>
      </c>
    </row>
    <row r="60" spans="1:9" x14ac:dyDescent="0.35">
      <c r="A60" t="s">
        <v>90</v>
      </c>
      <c r="B60" s="2">
        <v>46267</v>
      </c>
      <c r="C60" t="s">
        <v>46</v>
      </c>
      <c r="D60" t="s">
        <v>11</v>
      </c>
      <c r="E60" t="s">
        <v>22</v>
      </c>
      <c r="F60" t="s">
        <v>31</v>
      </c>
      <c r="G60" t="s">
        <v>14</v>
      </c>
      <c r="H60">
        <v>28</v>
      </c>
      <c r="I60" t="s">
        <v>15</v>
      </c>
    </row>
    <row r="61" spans="1:9" x14ac:dyDescent="0.35">
      <c r="A61" t="s">
        <v>91</v>
      </c>
      <c r="B61" s="2">
        <v>46265</v>
      </c>
      <c r="C61" t="s">
        <v>10</v>
      </c>
      <c r="D61" t="s">
        <v>25</v>
      </c>
      <c r="E61" t="s">
        <v>22</v>
      </c>
      <c r="F61" t="s">
        <v>18</v>
      </c>
      <c r="G61" t="s">
        <v>19</v>
      </c>
      <c r="H61">
        <v>22</v>
      </c>
      <c r="I61" t="s">
        <v>37</v>
      </c>
    </row>
    <row r="62" spans="1:9" x14ac:dyDescent="0.35">
      <c r="A62" t="s">
        <v>92</v>
      </c>
      <c r="B62" s="2">
        <v>46113</v>
      </c>
      <c r="C62" t="s">
        <v>30</v>
      </c>
      <c r="D62" t="s">
        <v>11</v>
      </c>
      <c r="E62" t="s">
        <v>12</v>
      </c>
      <c r="F62" t="s">
        <v>18</v>
      </c>
      <c r="G62" t="s">
        <v>14</v>
      </c>
      <c r="H62">
        <v>25</v>
      </c>
      <c r="I62" t="s">
        <v>15</v>
      </c>
    </row>
    <row r="63" spans="1:9" x14ac:dyDescent="0.35">
      <c r="A63" t="s">
        <v>93</v>
      </c>
      <c r="B63" s="2">
        <v>46116</v>
      </c>
      <c r="C63" t="s">
        <v>17</v>
      </c>
      <c r="D63" t="s">
        <v>11</v>
      </c>
      <c r="E63" t="s">
        <v>12</v>
      </c>
      <c r="F63" t="s">
        <v>31</v>
      </c>
      <c r="G63" t="s">
        <v>19</v>
      </c>
      <c r="H63">
        <v>44</v>
      </c>
      <c r="I63" t="s">
        <v>20</v>
      </c>
    </row>
    <row r="64" spans="1:9" x14ac:dyDescent="0.35">
      <c r="A64" t="s">
        <v>94</v>
      </c>
      <c r="B64" s="2">
        <v>46089</v>
      </c>
      <c r="C64" t="s">
        <v>28</v>
      </c>
      <c r="D64" t="s">
        <v>11</v>
      </c>
      <c r="E64" t="s">
        <v>12</v>
      </c>
      <c r="F64" t="s">
        <v>44</v>
      </c>
      <c r="G64" t="s">
        <v>23</v>
      </c>
      <c r="H64">
        <v>51</v>
      </c>
      <c r="I64" t="s">
        <v>15</v>
      </c>
    </row>
    <row r="65" spans="1:9" x14ac:dyDescent="0.35">
      <c r="A65" t="s">
        <v>95</v>
      </c>
      <c r="B65" s="2">
        <v>45982</v>
      </c>
      <c r="C65" t="s">
        <v>46</v>
      </c>
      <c r="D65" t="s">
        <v>25</v>
      </c>
      <c r="E65" t="s">
        <v>22</v>
      </c>
      <c r="F65" t="s">
        <v>13</v>
      </c>
      <c r="G65" t="s">
        <v>19</v>
      </c>
      <c r="H65">
        <v>41</v>
      </c>
      <c r="I65" t="s">
        <v>20</v>
      </c>
    </row>
    <row r="66" spans="1:9" x14ac:dyDescent="0.35">
      <c r="A66" t="s">
        <v>96</v>
      </c>
      <c r="B66" s="2">
        <v>45972</v>
      </c>
      <c r="C66" t="s">
        <v>34</v>
      </c>
      <c r="D66" t="s">
        <v>11</v>
      </c>
      <c r="E66" t="s">
        <v>39</v>
      </c>
      <c r="F66" t="s">
        <v>26</v>
      </c>
      <c r="G66" t="s">
        <v>19</v>
      </c>
      <c r="H66">
        <v>10</v>
      </c>
      <c r="I66" t="s">
        <v>37</v>
      </c>
    </row>
    <row r="67" spans="1:9" x14ac:dyDescent="0.35">
      <c r="A67" t="s">
        <v>97</v>
      </c>
      <c r="B67" s="2">
        <v>46130</v>
      </c>
      <c r="C67" t="s">
        <v>30</v>
      </c>
      <c r="D67" t="s">
        <v>11</v>
      </c>
      <c r="E67" t="s">
        <v>22</v>
      </c>
      <c r="F67" t="s">
        <v>31</v>
      </c>
      <c r="G67" t="s">
        <v>23</v>
      </c>
      <c r="H67">
        <v>83</v>
      </c>
      <c r="I67" t="s">
        <v>15</v>
      </c>
    </row>
    <row r="68" spans="1:9" x14ac:dyDescent="0.35">
      <c r="A68" t="s">
        <v>98</v>
      </c>
      <c r="B68" s="2">
        <v>46174</v>
      </c>
      <c r="C68" t="s">
        <v>28</v>
      </c>
      <c r="D68" t="s">
        <v>11</v>
      </c>
      <c r="E68" t="s">
        <v>12</v>
      </c>
      <c r="F68" t="s">
        <v>13</v>
      </c>
      <c r="G68" t="s">
        <v>19</v>
      </c>
      <c r="H68">
        <v>39</v>
      </c>
      <c r="I68" t="s">
        <v>20</v>
      </c>
    </row>
    <row r="69" spans="1:9" x14ac:dyDescent="0.35">
      <c r="A69" t="s">
        <v>99</v>
      </c>
      <c r="B69" s="2">
        <v>46262</v>
      </c>
      <c r="C69" t="s">
        <v>17</v>
      </c>
      <c r="D69" t="s">
        <v>35</v>
      </c>
      <c r="E69" t="s">
        <v>12</v>
      </c>
      <c r="F69" t="s">
        <v>26</v>
      </c>
      <c r="G69" t="s">
        <v>19</v>
      </c>
      <c r="H69">
        <v>43</v>
      </c>
      <c r="I69" t="s">
        <v>20</v>
      </c>
    </row>
    <row r="70" spans="1:9" x14ac:dyDescent="0.35">
      <c r="A70" t="s">
        <v>100</v>
      </c>
      <c r="B70" s="2">
        <v>45983</v>
      </c>
      <c r="C70" t="s">
        <v>30</v>
      </c>
      <c r="D70" t="s">
        <v>35</v>
      </c>
      <c r="E70" t="s">
        <v>12</v>
      </c>
      <c r="F70" t="s">
        <v>26</v>
      </c>
      <c r="G70" t="s">
        <v>19</v>
      </c>
      <c r="H70">
        <v>37</v>
      </c>
      <c r="I70" t="s">
        <v>20</v>
      </c>
    </row>
    <row r="71" spans="1:9" x14ac:dyDescent="0.35">
      <c r="A71" t="s">
        <v>101</v>
      </c>
      <c r="B71" s="2">
        <v>46103</v>
      </c>
      <c r="C71" t="s">
        <v>30</v>
      </c>
      <c r="D71" t="s">
        <v>11</v>
      </c>
      <c r="E71" t="s">
        <v>22</v>
      </c>
      <c r="F71" t="s">
        <v>31</v>
      </c>
      <c r="G71" t="s">
        <v>23</v>
      </c>
      <c r="H71">
        <v>82</v>
      </c>
      <c r="I71" t="s">
        <v>15</v>
      </c>
    </row>
    <row r="72" spans="1:9" x14ac:dyDescent="0.35">
      <c r="A72" t="s">
        <v>102</v>
      </c>
      <c r="B72" s="2">
        <v>46294</v>
      </c>
      <c r="C72" t="s">
        <v>17</v>
      </c>
      <c r="D72" t="s">
        <v>11</v>
      </c>
      <c r="E72" t="s">
        <v>12</v>
      </c>
      <c r="F72" t="s">
        <v>44</v>
      </c>
      <c r="G72" t="s">
        <v>19</v>
      </c>
      <c r="H72">
        <v>41</v>
      </c>
      <c r="I72" t="s">
        <v>20</v>
      </c>
    </row>
    <row r="73" spans="1:9" x14ac:dyDescent="0.35">
      <c r="A73" t="s">
        <v>103</v>
      </c>
      <c r="B73" s="2">
        <v>46102</v>
      </c>
      <c r="C73" t="s">
        <v>46</v>
      </c>
      <c r="D73" t="s">
        <v>11</v>
      </c>
      <c r="E73" t="s">
        <v>22</v>
      </c>
      <c r="F73" t="s">
        <v>18</v>
      </c>
      <c r="G73" t="s">
        <v>19</v>
      </c>
      <c r="H73">
        <v>3</v>
      </c>
      <c r="I73" t="s">
        <v>37</v>
      </c>
    </row>
    <row r="74" spans="1:9" x14ac:dyDescent="0.35">
      <c r="A74" t="s">
        <v>104</v>
      </c>
      <c r="B74" s="2">
        <v>46263</v>
      </c>
      <c r="C74" t="s">
        <v>17</v>
      </c>
      <c r="D74" t="s">
        <v>11</v>
      </c>
      <c r="E74" t="s">
        <v>12</v>
      </c>
      <c r="F74" t="s">
        <v>26</v>
      </c>
      <c r="G74" t="s">
        <v>14</v>
      </c>
      <c r="H74">
        <v>28</v>
      </c>
      <c r="I74" t="s">
        <v>15</v>
      </c>
    </row>
    <row r="75" spans="1:9" x14ac:dyDescent="0.35">
      <c r="A75" t="s">
        <v>105</v>
      </c>
      <c r="B75" s="2">
        <v>46283</v>
      </c>
      <c r="C75" t="s">
        <v>46</v>
      </c>
      <c r="D75" t="s">
        <v>11</v>
      </c>
      <c r="E75" t="s">
        <v>12</v>
      </c>
      <c r="F75" t="s">
        <v>31</v>
      </c>
      <c r="G75" t="s">
        <v>14</v>
      </c>
      <c r="H75">
        <v>12</v>
      </c>
      <c r="I75" t="s">
        <v>15</v>
      </c>
    </row>
    <row r="76" spans="1:9" x14ac:dyDescent="0.35">
      <c r="A76" t="s">
        <v>106</v>
      </c>
      <c r="B76" s="2">
        <v>46271</v>
      </c>
      <c r="C76" t="s">
        <v>30</v>
      </c>
      <c r="D76" t="s">
        <v>25</v>
      </c>
      <c r="E76" t="s">
        <v>12</v>
      </c>
      <c r="F76" t="s">
        <v>31</v>
      </c>
      <c r="G76" t="s">
        <v>19</v>
      </c>
      <c r="H76">
        <v>38</v>
      </c>
      <c r="I76" t="s">
        <v>20</v>
      </c>
    </row>
    <row r="77" spans="1:9" x14ac:dyDescent="0.35">
      <c r="A77" t="s">
        <v>107</v>
      </c>
      <c r="B77" s="2">
        <v>46144</v>
      </c>
      <c r="C77" t="s">
        <v>17</v>
      </c>
      <c r="D77" t="s">
        <v>11</v>
      </c>
      <c r="E77" t="s">
        <v>12</v>
      </c>
      <c r="F77" t="s">
        <v>26</v>
      </c>
      <c r="G77" t="s">
        <v>19</v>
      </c>
      <c r="H77">
        <v>42</v>
      </c>
      <c r="I77" t="s">
        <v>20</v>
      </c>
    </row>
    <row r="78" spans="1:9" x14ac:dyDescent="0.35">
      <c r="A78" t="s">
        <v>108</v>
      </c>
      <c r="B78" s="2">
        <v>46184</v>
      </c>
      <c r="C78" t="s">
        <v>28</v>
      </c>
      <c r="D78" t="s">
        <v>11</v>
      </c>
      <c r="E78" t="s">
        <v>22</v>
      </c>
      <c r="F78" t="s">
        <v>44</v>
      </c>
      <c r="G78" t="s">
        <v>23</v>
      </c>
      <c r="H78">
        <v>75</v>
      </c>
      <c r="I78" t="s">
        <v>15</v>
      </c>
    </row>
    <row r="79" spans="1:9" x14ac:dyDescent="0.35">
      <c r="A79" t="s">
        <v>109</v>
      </c>
      <c r="B79" s="2">
        <v>46152</v>
      </c>
      <c r="C79" t="s">
        <v>17</v>
      </c>
      <c r="D79" t="s">
        <v>35</v>
      </c>
      <c r="E79" t="s">
        <v>12</v>
      </c>
      <c r="F79" t="s">
        <v>26</v>
      </c>
      <c r="G79" t="s">
        <v>19</v>
      </c>
      <c r="H79">
        <v>28</v>
      </c>
      <c r="I79" t="s">
        <v>37</v>
      </c>
    </row>
    <row r="80" spans="1:9" x14ac:dyDescent="0.35">
      <c r="A80" t="s">
        <v>110</v>
      </c>
      <c r="B80" s="2">
        <v>46220</v>
      </c>
      <c r="C80" t="s">
        <v>28</v>
      </c>
      <c r="D80" t="s">
        <v>11</v>
      </c>
      <c r="E80" t="s">
        <v>22</v>
      </c>
      <c r="F80" t="s">
        <v>44</v>
      </c>
      <c r="G80" t="s">
        <v>19</v>
      </c>
      <c r="H80">
        <v>12</v>
      </c>
      <c r="I80" t="s">
        <v>37</v>
      </c>
    </row>
    <row r="81" spans="1:9" x14ac:dyDescent="0.35">
      <c r="A81" t="s">
        <v>111</v>
      </c>
      <c r="B81" s="2">
        <v>46102</v>
      </c>
      <c r="C81" t="s">
        <v>10</v>
      </c>
      <c r="D81" t="s">
        <v>35</v>
      </c>
      <c r="E81" t="s">
        <v>12</v>
      </c>
      <c r="F81" t="s">
        <v>31</v>
      </c>
      <c r="G81" t="s">
        <v>19</v>
      </c>
      <c r="H81">
        <v>32</v>
      </c>
      <c r="I81" t="s">
        <v>20</v>
      </c>
    </row>
    <row r="82" spans="1:9" x14ac:dyDescent="0.35">
      <c r="A82" t="s">
        <v>112</v>
      </c>
      <c r="B82" s="2">
        <v>46061</v>
      </c>
      <c r="C82" t="s">
        <v>28</v>
      </c>
      <c r="D82" t="s">
        <v>11</v>
      </c>
      <c r="E82" t="s">
        <v>12</v>
      </c>
      <c r="F82" t="s">
        <v>18</v>
      </c>
      <c r="G82" t="s">
        <v>14</v>
      </c>
      <c r="H82">
        <v>26</v>
      </c>
      <c r="I82" t="s">
        <v>15</v>
      </c>
    </row>
    <row r="83" spans="1:9" x14ac:dyDescent="0.35">
      <c r="A83" t="s">
        <v>113</v>
      </c>
      <c r="B83" s="2">
        <v>46226</v>
      </c>
      <c r="C83" t="s">
        <v>34</v>
      </c>
      <c r="D83" t="s">
        <v>11</v>
      </c>
      <c r="E83" t="s">
        <v>22</v>
      </c>
      <c r="F83" t="s">
        <v>44</v>
      </c>
      <c r="G83" t="s">
        <v>23</v>
      </c>
      <c r="H83">
        <v>82</v>
      </c>
      <c r="I83" t="s">
        <v>15</v>
      </c>
    </row>
    <row r="84" spans="1:9" x14ac:dyDescent="0.35">
      <c r="A84" t="s">
        <v>114</v>
      </c>
      <c r="B84" s="2">
        <v>46101</v>
      </c>
      <c r="C84" t="s">
        <v>34</v>
      </c>
      <c r="D84" t="s">
        <v>11</v>
      </c>
      <c r="E84" t="s">
        <v>22</v>
      </c>
      <c r="F84" t="s">
        <v>18</v>
      </c>
      <c r="G84" t="s">
        <v>19</v>
      </c>
      <c r="H84">
        <v>22</v>
      </c>
      <c r="I84" t="s">
        <v>37</v>
      </c>
    </row>
    <row r="85" spans="1:9" x14ac:dyDescent="0.35">
      <c r="A85" t="s">
        <v>115</v>
      </c>
      <c r="B85" s="2">
        <v>46155</v>
      </c>
      <c r="C85" t="s">
        <v>28</v>
      </c>
      <c r="D85" t="s">
        <v>11</v>
      </c>
      <c r="E85" t="s">
        <v>12</v>
      </c>
      <c r="F85" t="s">
        <v>31</v>
      </c>
      <c r="G85" t="s">
        <v>19</v>
      </c>
      <c r="H85">
        <v>34</v>
      </c>
      <c r="I85" t="s">
        <v>20</v>
      </c>
    </row>
    <row r="86" spans="1:9" x14ac:dyDescent="0.35">
      <c r="A86" t="s">
        <v>116</v>
      </c>
      <c r="B86" s="2">
        <v>46136</v>
      </c>
      <c r="C86" t="s">
        <v>17</v>
      </c>
      <c r="D86" t="s">
        <v>11</v>
      </c>
      <c r="E86" t="s">
        <v>22</v>
      </c>
      <c r="F86" t="s">
        <v>44</v>
      </c>
      <c r="G86" t="s">
        <v>14</v>
      </c>
      <c r="H86">
        <v>24</v>
      </c>
      <c r="I86" t="s">
        <v>15</v>
      </c>
    </row>
    <row r="87" spans="1:9" x14ac:dyDescent="0.35">
      <c r="A87" t="s">
        <v>117</v>
      </c>
      <c r="B87" s="2">
        <v>46125</v>
      </c>
      <c r="C87" t="s">
        <v>30</v>
      </c>
      <c r="D87" t="s">
        <v>11</v>
      </c>
      <c r="E87" t="s">
        <v>22</v>
      </c>
      <c r="F87" t="s">
        <v>31</v>
      </c>
      <c r="G87" t="s">
        <v>14</v>
      </c>
      <c r="H87">
        <v>7</v>
      </c>
      <c r="I87" t="s">
        <v>15</v>
      </c>
    </row>
    <row r="88" spans="1:9" x14ac:dyDescent="0.35">
      <c r="A88" t="s">
        <v>118</v>
      </c>
      <c r="B88" s="2">
        <v>46151</v>
      </c>
      <c r="C88" t="s">
        <v>17</v>
      </c>
      <c r="D88" t="s">
        <v>11</v>
      </c>
      <c r="E88" t="s">
        <v>22</v>
      </c>
      <c r="F88" t="s">
        <v>13</v>
      </c>
      <c r="G88" t="s">
        <v>19</v>
      </c>
      <c r="H88">
        <v>41</v>
      </c>
      <c r="I88" t="s">
        <v>20</v>
      </c>
    </row>
    <row r="89" spans="1:9" x14ac:dyDescent="0.35">
      <c r="A89" t="s">
        <v>119</v>
      </c>
      <c r="B89" s="2">
        <v>46255</v>
      </c>
      <c r="C89" t="s">
        <v>17</v>
      </c>
      <c r="D89" t="s">
        <v>11</v>
      </c>
      <c r="E89" t="s">
        <v>39</v>
      </c>
      <c r="F89" t="s">
        <v>13</v>
      </c>
      <c r="G89" t="s">
        <v>19</v>
      </c>
      <c r="H89">
        <v>28</v>
      </c>
      <c r="I89" t="s">
        <v>37</v>
      </c>
    </row>
    <row r="90" spans="1:9" x14ac:dyDescent="0.35">
      <c r="A90" t="s">
        <v>120</v>
      </c>
      <c r="B90" s="2">
        <v>45984</v>
      </c>
      <c r="C90" t="s">
        <v>17</v>
      </c>
      <c r="D90" t="s">
        <v>11</v>
      </c>
      <c r="E90" t="s">
        <v>12</v>
      </c>
      <c r="F90" t="s">
        <v>13</v>
      </c>
      <c r="G90" t="s">
        <v>14</v>
      </c>
      <c r="H90">
        <v>5</v>
      </c>
      <c r="I90" t="s">
        <v>15</v>
      </c>
    </row>
    <row r="91" spans="1:9" x14ac:dyDescent="0.35">
      <c r="A91" t="s">
        <v>121</v>
      </c>
      <c r="B91" s="2">
        <v>46090</v>
      </c>
      <c r="C91" t="s">
        <v>34</v>
      </c>
      <c r="D91" t="s">
        <v>25</v>
      </c>
      <c r="E91" t="s">
        <v>12</v>
      </c>
      <c r="F91" t="s">
        <v>13</v>
      </c>
      <c r="G91" t="s">
        <v>19</v>
      </c>
      <c r="H91">
        <v>45</v>
      </c>
      <c r="I91" t="s">
        <v>20</v>
      </c>
    </row>
    <row r="92" spans="1:9" x14ac:dyDescent="0.35">
      <c r="A92" t="s">
        <v>122</v>
      </c>
      <c r="B92" s="2">
        <v>46254</v>
      </c>
      <c r="C92" t="s">
        <v>10</v>
      </c>
      <c r="D92" t="s">
        <v>11</v>
      </c>
      <c r="E92" t="s">
        <v>12</v>
      </c>
      <c r="F92" t="s">
        <v>31</v>
      </c>
      <c r="G92" t="s">
        <v>19</v>
      </c>
      <c r="H92">
        <v>27</v>
      </c>
      <c r="I92" t="s">
        <v>37</v>
      </c>
    </row>
    <row r="93" spans="1:9" x14ac:dyDescent="0.35">
      <c r="A93" t="s">
        <v>123</v>
      </c>
      <c r="B93" s="2">
        <v>46155</v>
      </c>
      <c r="C93" t="s">
        <v>28</v>
      </c>
      <c r="D93" t="s">
        <v>11</v>
      </c>
      <c r="E93" t="s">
        <v>22</v>
      </c>
      <c r="F93" t="s">
        <v>13</v>
      </c>
      <c r="G93" t="s">
        <v>19</v>
      </c>
      <c r="H93">
        <v>41</v>
      </c>
      <c r="I93" t="s">
        <v>20</v>
      </c>
    </row>
    <row r="94" spans="1:9" x14ac:dyDescent="0.35">
      <c r="A94" t="s">
        <v>124</v>
      </c>
      <c r="B94" s="2">
        <v>46279</v>
      </c>
      <c r="C94" t="s">
        <v>17</v>
      </c>
      <c r="D94" t="s">
        <v>11</v>
      </c>
      <c r="E94" t="s">
        <v>39</v>
      </c>
      <c r="F94" t="s">
        <v>26</v>
      </c>
      <c r="G94" t="s">
        <v>19</v>
      </c>
      <c r="H94">
        <v>13</v>
      </c>
      <c r="I94" t="s">
        <v>37</v>
      </c>
    </row>
    <row r="95" spans="1:9" x14ac:dyDescent="0.35">
      <c r="A95" t="s">
        <v>125</v>
      </c>
      <c r="B95" s="2">
        <v>46101</v>
      </c>
      <c r="C95" t="s">
        <v>17</v>
      </c>
      <c r="D95" t="s">
        <v>11</v>
      </c>
      <c r="E95" t="s">
        <v>12</v>
      </c>
      <c r="F95" t="s">
        <v>26</v>
      </c>
      <c r="G95" t="s">
        <v>23</v>
      </c>
      <c r="H95">
        <v>73</v>
      </c>
      <c r="I95" t="s">
        <v>15</v>
      </c>
    </row>
    <row r="96" spans="1:9" x14ac:dyDescent="0.35">
      <c r="A96" t="s">
        <v>126</v>
      </c>
      <c r="B96" s="2">
        <v>46004</v>
      </c>
      <c r="C96" t="s">
        <v>17</v>
      </c>
      <c r="D96" t="s">
        <v>11</v>
      </c>
      <c r="E96" t="s">
        <v>12</v>
      </c>
      <c r="F96" t="s">
        <v>31</v>
      </c>
      <c r="G96" t="s">
        <v>14</v>
      </c>
      <c r="H96">
        <v>21</v>
      </c>
      <c r="I96" t="s">
        <v>15</v>
      </c>
    </row>
    <row r="97" spans="1:9" x14ac:dyDescent="0.35">
      <c r="A97" t="s">
        <v>127</v>
      </c>
      <c r="B97" s="2">
        <v>46289</v>
      </c>
      <c r="C97" t="s">
        <v>17</v>
      </c>
      <c r="D97" t="s">
        <v>25</v>
      </c>
      <c r="E97" t="s">
        <v>12</v>
      </c>
      <c r="F97" t="s">
        <v>26</v>
      </c>
      <c r="G97" t="s">
        <v>19</v>
      </c>
      <c r="H97">
        <v>10</v>
      </c>
      <c r="I97" t="s">
        <v>37</v>
      </c>
    </row>
    <row r="98" spans="1:9" x14ac:dyDescent="0.35">
      <c r="A98" t="s">
        <v>128</v>
      </c>
      <c r="B98" s="2">
        <v>45976</v>
      </c>
      <c r="C98" t="s">
        <v>10</v>
      </c>
      <c r="D98" t="s">
        <v>11</v>
      </c>
      <c r="E98" t="s">
        <v>39</v>
      </c>
      <c r="F98" t="s">
        <v>18</v>
      </c>
      <c r="G98" t="s">
        <v>23</v>
      </c>
      <c r="H98">
        <v>71</v>
      </c>
      <c r="I98" t="s">
        <v>15</v>
      </c>
    </row>
    <row r="99" spans="1:9" x14ac:dyDescent="0.35">
      <c r="A99" t="s">
        <v>129</v>
      </c>
      <c r="B99" s="2">
        <v>45934</v>
      </c>
      <c r="C99" t="s">
        <v>34</v>
      </c>
      <c r="D99" t="s">
        <v>11</v>
      </c>
      <c r="E99" t="s">
        <v>39</v>
      </c>
      <c r="F99" t="s">
        <v>31</v>
      </c>
      <c r="G99" t="s">
        <v>19</v>
      </c>
      <c r="H99">
        <v>31</v>
      </c>
      <c r="I99" t="s">
        <v>20</v>
      </c>
    </row>
    <row r="100" spans="1:9" x14ac:dyDescent="0.35">
      <c r="A100" t="s">
        <v>130</v>
      </c>
      <c r="B100" s="2">
        <v>46138</v>
      </c>
      <c r="C100" t="s">
        <v>34</v>
      </c>
      <c r="D100" t="s">
        <v>11</v>
      </c>
      <c r="E100" t="s">
        <v>22</v>
      </c>
      <c r="F100" t="s">
        <v>44</v>
      </c>
      <c r="G100" t="s">
        <v>19</v>
      </c>
      <c r="H100">
        <v>18</v>
      </c>
      <c r="I100" t="s">
        <v>37</v>
      </c>
    </row>
    <row r="101" spans="1:9" x14ac:dyDescent="0.35">
      <c r="A101" t="s">
        <v>131</v>
      </c>
      <c r="B101" s="2">
        <v>46213</v>
      </c>
      <c r="C101" t="s">
        <v>34</v>
      </c>
      <c r="D101" t="s">
        <v>35</v>
      </c>
      <c r="E101" t="s">
        <v>12</v>
      </c>
      <c r="F101" t="s">
        <v>31</v>
      </c>
      <c r="G101" t="s">
        <v>19</v>
      </c>
      <c r="H101">
        <v>38</v>
      </c>
      <c r="I101" t="s">
        <v>20</v>
      </c>
    </row>
    <row r="102" spans="1:9" x14ac:dyDescent="0.35">
      <c r="A102" t="s">
        <v>132</v>
      </c>
      <c r="B102" s="2">
        <v>46188</v>
      </c>
      <c r="C102" t="s">
        <v>28</v>
      </c>
      <c r="D102" t="s">
        <v>11</v>
      </c>
      <c r="E102" t="s">
        <v>12</v>
      </c>
      <c r="F102" t="s">
        <v>13</v>
      </c>
      <c r="G102" t="s">
        <v>19</v>
      </c>
      <c r="H102">
        <v>29</v>
      </c>
      <c r="I102" t="s">
        <v>37</v>
      </c>
    </row>
    <row r="103" spans="1:9" x14ac:dyDescent="0.35">
      <c r="A103" t="s">
        <v>133</v>
      </c>
      <c r="B103" s="2">
        <v>45943</v>
      </c>
      <c r="C103" t="s">
        <v>30</v>
      </c>
      <c r="D103" t="s">
        <v>11</v>
      </c>
      <c r="E103" t="s">
        <v>12</v>
      </c>
      <c r="F103" t="s">
        <v>18</v>
      </c>
      <c r="G103" t="s">
        <v>23</v>
      </c>
      <c r="H103">
        <v>41</v>
      </c>
      <c r="I103" t="s">
        <v>15</v>
      </c>
    </row>
    <row r="104" spans="1:9" x14ac:dyDescent="0.35">
      <c r="A104" t="s">
        <v>134</v>
      </c>
      <c r="B104" s="2">
        <v>45998</v>
      </c>
      <c r="C104" t="s">
        <v>10</v>
      </c>
      <c r="D104" t="s">
        <v>11</v>
      </c>
      <c r="E104" t="s">
        <v>22</v>
      </c>
      <c r="F104" t="s">
        <v>44</v>
      </c>
      <c r="G104" t="s">
        <v>19</v>
      </c>
      <c r="H104">
        <v>13</v>
      </c>
      <c r="I104" t="s">
        <v>37</v>
      </c>
    </row>
    <row r="105" spans="1:9" x14ac:dyDescent="0.35">
      <c r="A105" t="s">
        <v>135</v>
      </c>
      <c r="B105" s="2">
        <v>46232</v>
      </c>
      <c r="C105" t="s">
        <v>30</v>
      </c>
      <c r="D105" t="s">
        <v>11</v>
      </c>
      <c r="E105" t="s">
        <v>39</v>
      </c>
      <c r="F105" t="s">
        <v>26</v>
      </c>
      <c r="G105" t="s">
        <v>14</v>
      </c>
      <c r="H105">
        <v>10</v>
      </c>
      <c r="I105" t="s">
        <v>15</v>
      </c>
    </row>
    <row r="106" spans="1:9" x14ac:dyDescent="0.35">
      <c r="A106" t="s">
        <v>136</v>
      </c>
      <c r="B106" s="2">
        <v>46099</v>
      </c>
      <c r="C106" t="s">
        <v>34</v>
      </c>
      <c r="D106" t="s">
        <v>11</v>
      </c>
      <c r="E106" t="s">
        <v>12</v>
      </c>
      <c r="F106" t="s">
        <v>44</v>
      </c>
      <c r="G106" t="s">
        <v>19</v>
      </c>
      <c r="H106">
        <v>40</v>
      </c>
      <c r="I106" t="s">
        <v>20</v>
      </c>
    </row>
    <row r="107" spans="1:9" x14ac:dyDescent="0.35">
      <c r="A107" t="s">
        <v>137</v>
      </c>
      <c r="B107" s="2">
        <v>45983</v>
      </c>
      <c r="C107" t="s">
        <v>10</v>
      </c>
      <c r="D107" t="s">
        <v>11</v>
      </c>
      <c r="E107" t="s">
        <v>22</v>
      </c>
      <c r="F107" t="s">
        <v>18</v>
      </c>
      <c r="G107" t="s">
        <v>19</v>
      </c>
      <c r="H107">
        <v>10</v>
      </c>
      <c r="I107" t="s">
        <v>37</v>
      </c>
    </row>
    <row r="108" spans="1:9" x14ac:dyDescent="0.35">
      <c r="A108" t="s">
        <v>138</v>
      </c>
      <c r="B108" s="2">
        <v>46173</v>
      </c>
      <c r="C108" t="s">
        <v>30</v>
      </c>
      <c r="D108" t="s">
        <v>25</v>
      </c>
      <c r="E108" t="s">
        <v>39</v>
      </c>
      <c r="F108" t="s">
        <v>26</v>
      </c>
      <c r="G108" t="s">
        <v>23</v>
      </c>
      <c r="H108">
        <v>62</v>
      </c>
      <c r="I108" t="s">
        <v>15</v>
      </c>
    </row>
    <row r="109" spans="1:9" x14ac:dyDescent="0.35">
      <c r="A109" t="s">
        <v>139</v>
      </c>
      <c r="B109" s="2">
        <v>46060</v>
      </c>
      <c r="C109" t="s">
        <v>17</v>
      </c>
      <c r="D109" t="s">
        <v>11</v>
      </c>
      <c r="E109" t="s">
        <v>22</v>
      </c>
      <c r="F109" t="s">
        <v>44</v>
      </c>
      <c r="G109" t="s">
        <v>19</v>
      </c>
      <c r="H109">
        <v>42</v>
      </c>
      <c r="I109" t="s">
        <v>20</v>
      </c>
    </row>
    <row r="110" spans="1:9" x14ac:dyDescent="0.35">
      <c r="A110" t="s">
        <v>140</v>
      </c>
      <c r="B110" s="2">
        <v>46268</v>
      </c>
      <c r="C110" t="s">
        <v>17</v>
      </c>
      <c r="D110" t="s">
        <v>25</v>
      </c>
      <c r="E110" t="s">
        <v>12</v>
      </c>
      <c r="F110" t="s">
        <v>13</v>
      </c>
      <c r="G110" t="s">
        <v>19</v>
      </c>
      <c r="H110">
        <v>26</v>
      </c>
      <c r="I110" t="s">
        <v>37</v>
      </c>
    </row>
    <row r="111" spans="1:9" x14ac:dyDescent="0.35">
      <c r="A111" t="s">
        <v>141</v>
      </c>
      <c r="B111" s="2">
        <v>46074</v>
      </c>
      <c r="C111" t="s">
        <v>30</v>
      </c>
      <c r="D111" t="s">
        <v>11</v>
      </c>
      <c r="E111" t="s">
        <v>39</v>
      </c>
      <c r="F111" t="s">
        <v>44</v>
      </c>
      <c r="G111" t="s">
        <v>19</v>
      </c>
      <c r="H111">
        <v>22</v>
      </c>
      <c r="I111" t="s">
        <v>37</v>
      </c>
    </row>
    <row r="112" spans="1:9" x14ac:dyDescent="0.35">
      <c r="A112" t="s">
        <v>142</v>
      </c>
      <c r="B112" s="2">
        <v>46008</v>
      </c>
      <c r="C112" t="s">
        <v>46</v>
      </c>
      <c r="D112" t="s">
        <v>35</v>
      </c>
      <c r="E112" t="s">
        <v>12</v>
      </c>
      <c r="F112" t="s">
        <v>44</v>
      </c>
      <c r="G112" t="s">
        <v>19</v>
      </c>
      <c r="H112">
        <v>5</v>
      </c>
      <c r="I112" t="s">
        <v>37</v>
      </c>
    </row>
    <row r="113" spans="1:9" x14ac:dyDescent="0.35">
      <c r="A113" t="s">
        <v>143</v>
      </c>
      <c r="B113" s="2">
        <v>46157</v>
      </c>
      <c r="C113" t="s">
        <v>46</v>
      </c>
      <c r="D113" t="s">
        <v>11</v>
      </c>
      <c r="E113" t="s">
        <v>22</v>
      </c>
      <c r="F113" t="s">
        <v>44</v>
      </c>
      <c r="G113" t="s">
        <v>23</v>
      </c>
      <c r="H113">
        <v>39</v>
      </c>
      <c r="I113" t="s">
        <v>15</v>
      </c>
    </row>
    <row r="114" spans="1:9" x14ac:dyDescent="0.35">
      <c r="A114" t="s">
        <v>144</v>
      </c>
      <c r="B114" s="2">
        <v>45986</v>
      </c>
      <c r="C114" t="s">
        <v>30</v>
      </c>
      <c r="D114" t="s">
        <v>11</v>
      </c>
      <c r="E114" t="s">
        <v>22</v>
      </c>
      <c r="F114" t="s">
        <v>31</v>
      </c>
      <c r="G114" t="s">
        <v>19</v>
      </c>
      <c r="H114">
        <v>20</v>
      </c>
      <c r="I114" t="s">
        <v>37</v>
      </c>
    </row>
    <row r="115" spans="1:9" x14ac:dyDescent="0.35">
      <c r="A115" t="s">
        <v>145</v>
      </c>
      <c r="B115" s="2">
        <v>46119</v>
      </c>
      <c r="C115" t="s">
        <v>34</v>
      </c>
      <c r="D115" t="s">
        <v>11</v>
      </c>
      <c r="E115" t="s">
        <v>39</v>
      </c>
      <c r="F115" t="s">
        <v>13</v>
      </c>
      <c r="G115" t="s">
        <v>19</v>
      </c>
      <c r="H115">
        <v>15</v>
      </c>
      <c r="I115" t="s">
        <v>37</v>
      </c>
    </row>
    <row r="116" spans="1:9" x14ac:dyDescent="0.35">
      <c r="A116" t="s">
        <v>146</v>
      </c>
      <c r="B116" s="2">
        <v>46273</v>
      </c>
      <c r="C116" t="s">
        <v>46</v>
      </c>
      <c r="D116" t="s">
        <v>11</v>
      </c>
      <c r="E116" t="s">
        <v>22</v>
      </c>
      <c r="F116" t="s">
        <v>31</v>
      </c>
      <c r="G116" t="s">
        <v>14</v>
      </c>
      <c r="H116">
        <v>23</v>
      </c>
      <c r="I116" t="s">
        <v>15</v>
      </c>
    </row>
    <row r="117" spans="1:9" x14ac:dyDescent="0.35">
      <c r="A117" t="s">
        <v>147</v>
      </c>
      <c r="B117" s="2">
        <v>45937</v>
      </c>
      <c r="C117" t="s">
        <v>34</v>
      </c>
      <c r="D117" t="s">
        <v>35</v>
      </c>
      <c r="E117" t="s">
        <v>39</v>
      </c>
      <c r="F117" t="s">
        <v>26</v>
      </c>
      <c r="G117" t="s">
        <v>19</v>
      </c>
      <c r="H117">
        <v>33</v>
      </c>
      <c r="I117" t="s">
        <v>20</v>
      </c>
    </row>
    <row r="118" spans="1:9" x14ac:dyDescent="0.35">
      <c r="A118" t="s">
        <v>148</v>
      </c>
      <c r="B118" s="2">
        <v>46283</v>
      </c>
      <c r="C118" t="s">
        <v>28</v>
      </c>
      <c r="D118" t="s">
        <v>11</v>
      </c>
      <c r="E118" t="s">
        <v>12</v>
      </c>
      <c r="F118" t="s">
        <v>13</v>
      </c>
      <c r="G118" t="s">
        <v>14</v>
      </c>
      <c r="H118">
        <v>9</v>
      </c>
      <c r="I118" t="s">
        <v>15</v>
      </c>
    </row>
    <row r="119" spans="1:9" x14ac:dyDescent="0.35">
      <c r="A119" t="s">
        <v>149</v>
      </c>
      <c r="B119" s="2">
        <v>46104</v>
      </c>
      <c r="C119" t="s">
        <v>34</v>
      </c>
      <c r="D119" t="s">
        <v>35</v>
      </c>
      <c r="E119" t="s">
        <v>22</v>
      </c>
      <c r="F119" t="s">
        <v>13</v>
      </c>
      <c r="G119" t="s">
        <v>14</v>
      </c>
      <c r="H119">
        <v>19</v>
      </c>
      <c r="I119" t="s">
        <v>15</v>
      </c>
    </row>
    <row r="120" spans="1:9" x14ac:dyDescent="0.35">
      <c r="A120" t="s">
        <v>150</v>
      </c>
      <c r="B120" s="2">
        <v>46061</v>
      </c>
      <c r="C120" t="s">
        <v>46</v>
      </c>
      <c r="D120" t="s">
        <v>25</v>
      </c>
      <c r="E120" t="s">
        <v>12</v>
      </c>
      <c r="F120" t="s">
        <v>26</v>
      </c>
      <c r="G120" t="s">
        <v>19</v>
      </c>
      <c r="H120">
        <v>21</v>
      </c>
      <c r="I120" t="s">
        <v>37</v>
      </c>
    </row>
    <row r="121" spans="1:9" x14ac:dyDescent="0.35">
      <c r="A121" t="s">
        <v>151</v>
      </c>
      <c r="B121" s="2">
        <v>45942</v>
      </c>
      <c r="C121" t="s">
        <v>28</v>
      </c>
      <c r="D121" t="s">
        <v>11</v>
      </c>
      <c r="E121" t="s">
        <v>12</v>
      </c>
      <c r="F121" t="s">
        <v>44</v>
      </c>
      <c r="G121" t="s">
        <v>14</v>
      </c>
      <c r="H121">
        <v>12</v>
      </c>
      <c r="I121" t="s">
        <v>15</v>
      </c>
    </row>
    <row r="122" spans="1:9" x14ac:dyDescent="0.35">
      <c r="A122" t="s">
        <v>152</v>
      </c>
      <c r="B122" s="2">
        <v>46149</v>
      </c>
      <c r="C122" t="s">
        <v>46</v>
      </c>
      <c r="D122" t="s">
        <v>11</v>
      </c>
      <c r="E122" t="s">
        <v>39</v>
      </c>
      <c r="F122" t="s">
        <v>31</v>
      </c>
      <c r="G122" t="s">
        <v>19</v>
      </c>
      <c r="H122">
        <v>28</v>
      </c>
      <c r="I122" t="s">
        <v>37</v>
      </c>
    </row>
    <row r="123" spans="1:9" x14ac:dyDescent="0.35">
      <c r="A123" t="s">
        <v>153</v>
      </c>
      <c r="B123" s="2">
        <v>46076</v>
      </c>
      <c r="C123" t="s">
        <v>46</v>
      </c>
      <c r="D123" t="s">
        <v>35</v>
      </c>
      <c r="E123" t="s">
        <v>22</v>
      </c>
      <c r="F123" t="s">
        <v>26</v>
      </c>
      <c r="G123" t="s">
        <v>19</v>
      </c>
      <c r="H123">
        <v>4</v>
      </c>
      <c r="I123" t="s">
        <v>37</v>
      </c>
    </row>
    <row r="124" spans="1:9" x14ac:dyDescent="0.35">
      <c r="A124" t="s">
        <v>154</v>
      </c>
      <c r="B124" s="2">
        <v>46201</v>
      </c>
      <c r="C124" t="s">
        <v>17</v>
      </c>
      <c r="D124" t="s">
        <v>11</v>
      </c>
      <c r="E124" t="s">
        <v>22</v>
      </c>
      <c r="F124" t="s">
        <v>13</v>
      </c>
      <c r="G124" t="s">
        <v>19</v>
      </c>
      <c r="H124">
        <v>27</v>
      </c>
      <c r="I124" t="s">
        <v>37</v>
      </c>
    </row>
    <row r="125" spans="1:9" x14ac:dyDescent="0.35">
      <c r="A125" t="s">
        <v>155</v>
      </c>
      <c r="B125" s="2">
        <v>46059</v>
      </c>
      <c r="C125" t="s">
        <v>28</v>
      </c>
      <c r="D125" t="s">
        <v>11</v>
      </c>
      <c r="E125" t="s">
        <v>22</v>
      </c>
      <c r="F125" t="s">
        <v>18</v>
      </c>
      <c r="G125" t="s">
        <v>14</v>
      </c>
      <c r="H125">
        <v>12</v>
      </c>
      <c r="I125" t="s">
        <v>15</v>
      </c>
    </row>
    <row r="126" spans="1:9" x14ac:dyDescent="0.35">
      <c r="A126" t="s">
        <v>156</v>
      </c>
      <c r="B126" s="2">
        <v>46241</v>
      </c>
      <c r="C126" t="s">
        <v>10</v>
      </c>
      <c r="D126" t="s">
        <v>11</v>
      </c>
      <c r="E126" t="s">
        <v>12</v>
      </c>
      <c r="F126" t="s">
        <v>44</v>
      </c>
      <c r="G126" t="s">
        <v>19</v>
      </c>
      <c r="H126">
        <v>23</v>
      </c>
      <c r="I126" t="s">
        <v>37</v>
      </c>
    </row>
    <row r="127" spans="1:9" x14ac:dyDescent="0.35">
      <c r="A127" t="s">
        <v>157</v>
      </c>
      <c r="B127" s="2">
        <v>46251</v>
      </c>
      <c r="C127" t="s">
        <v>17</v>
      </c>
      <c r="D127" t="s">
        <v>11</v>
      </c>
      <c r="E127" t="s">
        <v>12</v>
      </c>
      <c r="F127" t="s">
        <v>31</v>
      </c>
      <c r="G127" t="s">
        <v>19</v>
      </c>
      <c r="H127">
        <v>40</v>
      </c>
      <c r="I127" t="s">
        <v>20</v>
      </c>
    </row>
    <row r="128" spans="1:9" x14ac:dyDescent="0.35">
      <c r="A128" t="s">
        <v>158</v>
      </c>
      <c r="B128" s="2">
        <v>46286</v>
      </c>
      <c r="C128" t="s">
        <v>10</v>
      </c>
      <c r="D128" t="s">
        <v>11</v>
      </c>
      <c r="E128" t="s">
        <v>12</v>
      </c>
      <c r="F128" t="s">
        <v>44</v>
      </c>
      <c r="G128" t="s">
        <v>23</v>
      </c>
      <c r="H128">
        <v>56</v>
      </c>
      <c r="I128" t="s">
        <v>15</v>
      </c>
    </row>
    <row r="129" spans="1:9" x14ac:dyDescent="0.35">
      <c r="A129" t="s">
        <v>159</v>
      </c>
      <c r="B129" s="2">
        <v>46040</v>
      </c>
      <c r="C129" t="s">
        <v>17</v>
      </c>
      <c r="D129" t="s">
        <v>11</v>
      </c>
      <c r="E129" t="s">
        <v>12</v>
      </c>
      <c r="F129" t="s">
        <v>18</v>
      </c>
      <c r="G129" t="s">
        <v>19</v>
      </c>
      <c r="H129">
        <v>44</v>
      </c>
      <c r="I129" t="s">
        <v>20</v>
      </c>
    </row>
    <row r="130" spans="1:9" x14ac:dyDescent="0.35">
      <c r="A130" t="s">
        <v>160</v>
      </c>
      <c r="B130" s="2">
        <v>46007</v>
      </c>
      <c r="C130" t="s">
        <v>30</v>
      </c>
      <c r="D130" t="s">
        <v>25</v>
      </c>
      <c r="E130" t="s">
        <v>22</v>
      </c>
      <c r="F130" t="s">
        <v>26</v>
      </c>
      <c r="G130" t="s">
        <v>14</v>
      </c>
      <c r="H130">
        <v>20</v>
      </c>
      <c r="I130" t="s">
        <v>15</v>
      </c>
    </row>
    <row r="131" spans="1:9" x14ac:dyDescent="0.35">
      <c r="A131" t="s">
        <v>161</v>
      </c>
      <c r="B131" s="2">
        <v>46270</v>
      </c>
      <c r="C131" t="s">
        <v>28</v>
      </c>
      <c r="D131" t="s">
        <v>11</v>
      </c>
      <c r="E131" t="s">
        <v>12</v>
      </c>
      <c r="F131" t="s">
        <v>26</v>
      </c>
      <c r="G131" t="s">
        <v>14</v>
      </c>
      <c r="H131">
        <v>29</v>
      </c>
      <c r="I131" t="s">
        <v>15</v>
      </c>
    </row>
    <row r="132" spans="1:9" x14ac:dyDescent="0.35">
      <c r="A132" t="s">
        <v>162</v>
      </c>
      <c r="B132" s="2">
        <v>45953</v>
      </c>
      <c r="C132" t="s">
        <v>30</v>
      </c>
      <c r="D132" t="s">
        <v>11</v>
      </c>
      <c r="E132" t="s">
        <v>22</v>
      </c>
      <c r="F132" t="s">
        <v>31</v>
      </c>
      <c r="G132" t="s">
        <v>19</v>
      </c>
      <c r="H132">
        <v>31</v>
      </c>
      <c r="I132" t="s">
        <v>20</v>
      </c>
    </row>
    <row r="133" spans="1:9" x14ac:dyDescent="0.35">
      <c r="A133" t="s">
        <v>163</v>
      </c>
      <c r="B133" s="2">
        <v>46195</v>
      </c>
      <c r="C133" t="s">
        <v>46</v>
      </c>
      <c r="D133" t="s">
        <v>35</v>
      </c>
      <c r="E133" t="s">
        <v>22</v>
      </c>
      <c r="F133" t="s">
        <v>18</v>
      </c>
      <c r="G133" t="s">
        <v>19</v>
      </c>
      <c r="H133">
        <v>23</v>
      </c>
      <c r="I133" t="s">
        <v>37</v>
      </c>
    </row>
    <row r="134" spans="1:9" x14ac:dyDescent="0.35">
      <c r="A134" t="s">
        <v>164</v>
      </c>
      <c r="B134" s="2">
        <v>46079</v>
      </c>
      <c r="C134" t="s">
        <v>30</v>
      </c>
      <c r="D134" t="s">
        <v>35</v>
      </c>
      <c r="E134" t="s">
        <v>12</v>
      </c>
      <c r="F134" t="s">
        <v>26</v>
      </c>
      <c r="G134" t="s">
        <v>19</v>
      </c>
      <c r="H134">
        <v>17</v>
      </c>
      <c r="I134" t="s">
        <v>37</v>
      </c>
    </row>
    <row r="135" spans="1:9" x14ac:dyDescent="0.35">
      <c r="A135" t="s">
        <v>165</v>
      </c>
      <c r="B135" s="2">
        <v>46181</v>
      </c>
      <c r="C135" t="s">
        <v>34</v>
      </c>
      <c r="D135" t="s">
        <v>11</v>
      </c>
      <c r="E135" t="s">
        <v>12</v>
      </c>
      <c r="F135" t="s">
        <v>18</v>
      </c>
      <c r="G135" t="s">
        <v>19</v>
      </c>
      <c r="H135">
        <v>34</v>
      </c>
      <c r="I135" t="s">
        <v>20</v>
      </c>
    </row>
    <row r="136" spans="1:9" x14ac:dyDescent="0.35">
      <c r="A136" t="s">
        <v>166</v>
      </c>
      <c r="B136" s="2">
        <v>46188</v>
      </c>
      <c r="C136" t="s">
        <v>17</v>
      </c>
      <c r="D136" t="s">
        <v>11</v>
      </c>
      <c r="E136" t="s">
        <v>12</v>
      </c>
      <c r="F136" t="s">
        <v>44</v>
      </c>
      <c r="G136" t="s">
        <v>23</v>
      </c>
      <c r="H136">
        <v>64</v>
      </c>
      <c r="I136" t="s">
        <v>15</v>
      </c>
    </row>
    <row r="137" spans="1:9" x14ac:dyDescent="0.35">
      <c r="A137" t="s">
        <v>167</v>
      </c>
      <c r="B137" s="2">
        <v>46134</v>
      </c>
      <c r="C137" t="s">
        <v>17</v>
      </c>
      <c r="D137" t="s">
        <v>11</v>
      </c>
      <c r="E137" t="s">
        <v>12</v>
      </c>
      <c r="F137" t="s">
        <v>13</v>
      </c>
      <c r="G137" t="s">
        <v>19</v>
      </c>
      <c r="H137">
        <v>10</v>
      </c>
      <c r="I137" t="s">
        <v>37</v>
      </c>
    </row>
    <row r="138" spans="1:9" x14ac:dyDescent="0.35">
      <c r="A138" t="s">
        <v>168</v>
      </c>
      <c r="B138" s="2">
        <v>46135</v>
      </c>
      <c r="C138" t="s">
        <v>17</v>
      </c>
      <c r="D138" t="s">
        <v>11</v>
      </c>
      <c r="E138" t="s">
        <v>12</v>
      </c>
      <c r="F138" t="s">
        <v>44</v>
      </c>
      <c r="G138" t="s">
        <v>19</v>
      </c>
      <c r="H138">
        <v>33</v>
      </c>
      <c r="I138" t="s">
        <v>20</v>
      </c>
    </row>
    <row r="139" spans="1:9" x14ac:dyDescent="0.35">
      <c r="A139" t="s">
        <v>169</v>
      </c>
      <c r="B139" s="2">
        <v>46136</v>
      </c>
      <c r="C139" t="s">
        <v>34</v>
      </c>
      <c r="D139" t="s">
        <v>11</v>
      </c>
      <c r="E139" t="s">
        <v>12</v>
      </c>
      <c r="F139" t="s">
        <v>44</v>
      </c>
      <c r="G139" t="s">
        <v>19</v>
      </c>
      <c r="H139">
        <v>32</v>
      </c>
      <c r="I139" t="s">
        <v>20</v>
      </c>
    </row>
    <row r="140" spans="1:9" x14ac:dyDescent="0.35">
      <c r="A140" t="s">
        <v>170</v>
      </c>
      <c r="B140" s="2">
        <v>45972</v>
      </c>
      <c r="C140" t="s">
        <v>17</v>
      </c>
      <c r="D140" t="s">
        <v>11</v>
      </c>
      <c r="E140" t="s">
        <v>12</v>
      </c>
      <c r="F140" t="s">
        <v>44</v>
      </c>
      <c r="G140" t="s">
        <v>19</v>
      </c>
      <c r="H140">
        <v>30</v>
      </c>
      <c r="I140" t="s">
        <v>37</v>
      </c>
    </row>
    <row r="141" spans="1:9" x14ac:dyDescent="0.35">
      <c r="A141" t="s">
        <v>171</v>
      </c>
      <c r="B141" s="2">
        <v>46119</v>
      </c>
      <c r="C141" t="s">
        <v>10</v>
      </c>
      <c r="D141" t="s">
        <v>35</v>
      </c>
      <c r="E141" t="s">
        <v>22</v>
      </c>
      <c r="F141" t="s">
        <v>31</v>
      </c>
      <c r="G141" t="s">
        <v>19</v>
      </c>
      <c r="H141">
        <v>36</v>
      </c>
      <c r="I141" t="s">
        <v>20</v>
      </c>
    </row>
    <row r="142" spans="1:9" x14ac:dyDescent="0.35">
      <c r="A142" t="s">
        <v>172</v>
      </c>
      <c r="B142" s="2">
        <v>46285</v>
      </c>
      <c r="C142" t="s">
        <v>10</v>
      </c>
      <c r="D142" t="s">
        <v>11</v>
      </c>
      <c r="E142" t="s">
        <v>12</v>
      </c>
      <c r="F142" t="s">
        <v>44</v>
      </c>
      <c r="G142" t="s">
        <v>23</v>
      </c>
      <c r="H142">
        <v>80</v>
      </c>
      <c r="I142" t="s">
        <v>15</v>
      </c>
    </row>
    <row r="143" spans="1:9" x14ac:dyDescent="0.35">
      <c r="A143" t="s">
        <v>173</v>
      </c>
      <c r="B143" s="2">
        <v>46192</v>
      </c>
      <c r="C143" t="s">
        <v>46</v>
      </c>
      <c r="D143" t="s">
        <v>11</v>
      </c>
      <c r="E143" t="s">
        <v>22</v>
      </c>
      <c r="F143" t="s">
        <v>18</v>
      </c>
      <c r="G143" t="s">
        <v>23</v>
      </c>
      <c r="H143">
        <v>74</v>
      </c>
      <c r="I143" t="s">
        <v>15</v>
      </c>
    </row>
    <row r="144" spans="1:9" x14ac:dyDescent="0.35">
      <c r="A144" t="s">
        <v>174</v>
      </c>
      <c r="B144" s="2">
        <v>46008</v>
      </c>
      <c r="C144" t="s">
        <v>10</v>
      </c>
      <c r="D144" t="s">
        <v>11</v>
      </c>
      <c r="E144" t="s">
        <v>12</v>
      </c>
      <c r="F144" t="s">
        <v>13</v>
      </c>
      <c r="G144" t="s">
        <v>14</v>
      </c>
      <c r="H144">
        <v>29</v>
      </c>
      <c r="I144" t="s">
        <v>15</v>
      </c>
    </row>
    <row r="145" spans="1:9" x14ac:dyDescent="0.35">
      <c r="A145" t="s">
        <v>175</v>
      </c>
      <c r="B145" s="2">
        <v>46047</v>
      </c>
      <c r="C145" t="s">
        <v>28</v>
      </c>
      <c r="D145" t="s">
        <v>25</v>
      </c>
      <c r="E145" t="s">
        <v>12</v>
      </c>
      <c r="F145" t="s">
        <v>18</v>
      </c>
      <c r="G145" t="s">
        <v>19</v>
      </c>
      <c r="H145">
        <v>40</v>
      </c>
      <c r="I145" t="s">
        <v>20</v>
      </c>
    </row>
    <row r="146" spans="1:9" x14ac:dyDescent="0.35">
      <c r="A146" t="s">
        <v>176</v>
      </c>
      <c r="B146" s="2">
        <v>45987</v>
      </c>
      <c r="C146" t="s">
        <v>28</v>
      </c>
      <c r="D146" t="s">
        <v>35</v>
      </c>
      <c r="E146" t="s">
        <v>39</v>
      </c>
      <c r="F146" t="s">
        <v>26</v>
      </c>
      <c r="G146" t="s">
        <v>19</v>
      </c>
      <c r="H146">
        <v>10</v>
      </c>
      <c r="I146" t="s">
        <v>37</v>
      </c>
    </row>
    <row r="147" spans="1:9" x14ac:dyDescent="0.35">
      <c r="A147" t="s">
        <v>177</v>
      </c>
      <c r="B147" s="2">
        <v>45953</v>
      </c>
      <c r="C147" t="s">
        <v>30</v>
      </c>
      <c r="D147" t="s">
        <v>35</v>
      </c>
      <c r="E147" t="s">
        <v>12</v>
      </c>
      <c r="F147" t="s">
        <v>13</v>
      </c>
      <c r="G147" t="s">
        <v>19</v>
      </c>
      <c r="H147">
        <v>13</v>
      </c>
      <c r="I147" t="s">
        <v>37</v>
      </c>
    </row>
    <row r="148" spans="1:9" x14ac:dyDescent="0.35">
      <c r="A148" t="s">
        <v>178</v>
      </c>
      <c r="B148" s="2">
        <v>46272</v>
      </c>
      <c r="C148" t="s">
        <v>34</v>
      </c>
      <c r="D148" t="s">
        <v>25</v>
      </c>
      <c r="E148" t="s">
        <v>12</v>
      </c>
      <c r="F148" t="s">
        <v>13</v>
      </c>
      <c r="G148" t="s">
        <v>14</v>
      </c>
      <c r="H148">
        <v>5</v>
      </c>
      <c r="I148" t="s">
        <v>15</v>
      </c>
    </row>
    <row r="149" spans="1:9" x14ac:dyDescent="0.35">
      <c r="A149" t="s">
        <v>179</v>
      </c>
      <c r="B149" s="2">
        <v>46181</v>
      </c>
      <c r="C149" t="s">
        <v>10</v>
      </c>
      <c r="D149" t="s">
        <v>25</v>
      </c>
      <c r="E149" t="s">
        <v>22</v>
      </c>
      <c r="F149" t="s">
        <v>44</v>
      </c>
      <c r="G149" t="s">
        <v>14</v>
      </c>
      <c r="H149">
        <v>27</v>
      </c>
      <c r="I149" t="s">
        <v>15</v>
      </c>
    </row>
    <row r="150" spans="1:9" x14ac:dyDescent="0.35">
      <c r="A150" t="s">
        <v>180</v>
      </c>
      <c r="B150" s="2">
        <v>46294</v>
      </c>
      <c r="C150" t="s">
        <v>10</v>
      </c>
      <c r="D150" t="s">
        <v>11</v>
      </c>
      <c r="E150" t="s">
        <v>22</v>
      </c>
      <c r="F150" t="s">
        <v>13</v>
      </c>
      <c r="G150" t="s">
        <v>19</v>
      </c>
      <c r="H150">
        <v>12</v>
      </c>
      <c r="I150" t="s">
        <v>37</v>
      </c>
    </row>
    <row r="151" spans="1:9" x14ac:dyDescent="0.35">
      <c r="A151" t="s">
        <v>181</v>
      </c>
      <c r="B151" s="2">
        <v>46218</v>
      </c>
      <c r="C151" t="s">
        <v>34</v>
      </c>
      <c r="D151" t="s">
        <v>25</v>
      </c>
      <c r="E151" t="s">
        <v>22</v>
      </c>
      <c r="F151" t="s">
        <v>26</v>
      </c>
      <c r="G151" t="s">
        <v>19</v>
      </c>
      <c r="H151">
        <v>33</v>
      </c>
      <c r="I151" t="s">
        <v>20</v>
      </c>
    </row>
    <row r="152" spans="1:9" x14ac:dyDescent="0.35">
      <c r="A152" t="s">
        <v>182</v>
      </c>
      <c r="B152" s="2">
        <v>45941</v>
      </c>
      <c r="C152" t="s">
        <v>46</v>
      </c>
      <c r="D152" t="s">
        <v>25</v>
      </c>
      <c r="E152" t="s">
        <v>12</v>
      </c>
      <c r="F152" t="s">
        <v>26</v>
      </c>
      <c r="G152" t="s">
        <v>19</v>
      </c>
      <c r="H152">
        <v>41</v>
      </c>
      <c r="I152" t="s">
        <v>20</v>
      </c>
    </row>
    <row r="153" spans="1:9" x14ac:dyDescent="0.35">
      <c r="A153" t="s">
        <v>183</v>
      </c>
      <c r="B153" s="2">
        <v>46036</v>
      </c>
      <c r="C153" t="s">
        <v>34</v>
      </c>
      <c r="D153" t="s">
        <v>35</v>
      </c>
      <c r="E153" t="s">
        <v>22</v>
      </c>
      <c r="F153" t="s">
        <v>26</v>
      </c>
      <c r="G153" t="s">
        <v>19</v>
      </c>
      <c r="H153">
        <v>10</v>
      </c>
      <c r="I153" t="s">
        <v>37</v>
      </c>
    </row>
    <row r="154" spans="1:9" x14ac:dyDescent="0.35">
      <c r="A154" t="s">
        <v>184</v>
      </c>
      <c r="B154" s="2">
        <v>46222</v>
      </c>
      <c r="C154" t="s">
        <v>46</v>
      </c>
      <c r="D154" t="s">
        <v>35</v>
      </c>
      <c r="E154" t="s">
        <v>22</v>
      </c>
      <c r="F154" t="s">
        <v>44</v>
      </c>
      <c r="G154" t="s">
        <v>19</v>
      </c>
      <c r="H154">
        <v>39</v>
      </c>
      <c r="I154" t="s">
        <v>20</v>
      </c>
    </row>
    <row r="155" spans="1:9" x14ac:dyDescent="0.35">
      <c r="A155" t="s">
        <v>185</v>
      </c>
      <c r="B155" s="2">
        <v>46030</v>
      </c>
      <c r="C155" t="s">
        <v>34</v>
      </c>
      <c r="D155" t="s">
        <v>11</v>
      </c>
      <c r="E155" t="s">
        <v>22</v>
      </c>
      <c r="F155" t="s">
        <v>26</v>
      </c>
      <c r="G155" t="s">
        <v>19</v>
      </c>
      <c r="H155">
        <v>24</v>
      </c>
      <c r="I155" t="s">
        <v>37</v>
      </c>
    </row>
    <row r="156" spans="1:9" x14ac:dyDescent="0.35">
      <c r="A156" t="s">
        <v>186</v>
      </c>
      <c r="B156" s="2">
        <v>46049</v>
      </c>
      <c r="C156" t="s">
        <v>10</v>
      </c>
      <c r="D156" t="s">
        <v>11</v>
      </c>
      <c r="E156" t="s">
        <v>12</v>
      </c>
      <c r="F156" t="s">
        <v>31</v>
      </c>
      <c r="G156" t="s">
        <v>19</v>
      </c>
      <c r="H156">
        <v>19</v>
      </c>
      <c r="I156" t="s">
        <v>37</v>
      </c>
    </row>
    <row r="157" spans="1:9" x14ac:dyDescent="0.35">
      <c r="A157" t="s">
        <v>187</v>
      </c>
      <c r="B157" s="2">
        <v>46246</v>
      </c>
      <c r="C157" t="s">
        <v>28</v>
      </c>
      <c r="D157" t="s">
        <v>11</v>
      </c>
      <c r="E157" t="s">
        <v>22</v>
      </c>
      <c r="F157" t="s">
        <v>26</v>
      </c>
      <c r="G157" t="s">
        <v>19</v>
      </c>
      <c r="H157">
        <v>44</v>
      </c>
      <c r="I157" t="s">
        <v>20</v>
      </c>
    </row>
    <row r="158" spans="1:9" x14ac:dyDescent="0.35">
      <c r="A158" t="s">
        <v>188</v>
      </c>
      <c r="B158" s="2">
        <v>46105</v>
      </c>
      <c r="C158" t="s">
        <v>34</v>
      </c>
      <c r="D158" t="s">
        <v>11</v>
      </c>
      <c r="E158" t="s">
        <v>12</v>
      </c>
      <c r="F158" t="s">
        <v>44</v>
      </c>
      <c r="G158" t="s">
        <v>19</v>
      </c>
      <c r="H158">
        <v>30</v>
      </c>
      <c r="I158" t="s">
        <v>37</v>
      </c>
    </row>
    <row r="159" spans="1:9" x14ac:dyDescent="0.35">
      <c r="A159" t="s">
        <v>189</v>
      </c>
      <c r="B159" s="2">
        <v>45980</v>
      </c>
      <c r="C159" t="s">
        <v>17</v>
      </c>
      <c r="D159" t="s">
        <v>11</v>
      </c>
      <c r="E159" t="s">
        <v>22</v>
      </c>
      <c r="F159" t="s">
        <v>18</v>
      </c>
      <c r="G159" t="s">
        <v>14</v>
      </c>
      <c r="H159">
        <v>8</v>
      </c>
      <c r="I159" t="s">
        <v>15</v>
      </c>
    </row>
    <row r="160" spans="1:9" x14ac:dyDescent="0.35">
      <c r="A160" t="s">
        <v>190</v>
      </c>
      <c r="B160" s="2">
        <v>46163</v>
      </c>
      <c r="C160" t="s">
        <v>10</v>
      </c>
      <c r="D160" t="s">
        <v>25</v>
      </c>
      <c r="E160" t="s">
        <v>39</v>
      </c>
      <c r="F160" t="s">
        <v>31</v>
      </c>
      <c r="G160" t="s">
        <v>14</v>
      </c>
      <c r="H160">
        <v>20</v>
      </c>
      <c r="I160" t="s">
        <v>15</v>
      </c>
    </row>
    <row r="161" spans="1:9" x14ac:dyDescent="0.35">
      <c r="A161" t="s">
        <v>191</v>
      </c>
      <c r="B161" s="2">
        <v>45981</v>
      </c>
      <c r="C161" t="s">
        <v>28</v>
      </c>
      <c r="D161" t="s">
        <v>35</v>
      </c>
      <c r="E161" t="s">
        <v>12</v>
      </c>
      <c r="F161" t="s">
        <v>26</v>
      </c>
      <c r="G161" t="s">
        <v>19</v>
      </c>
      <c r="H161">
        <v>30</v>
      </c>
      <c r="I161" t="s">
        <v>37</v>
      </c>
    </row>
    <row r="162" spans="1:9" x14ac:dyDescent="0.35">
      <c r="A162" t="s">
        <v>192</v>
      </c>
      <c r="B162" s="2">
        <v>46056</v>
      </c>
      <c r="C162" t="s">
        <v>34</v>
      </c>
      <c r="D162" t="s">
        <v>11</v>
      </c>
      <c r="E162" t="s">
        <v>12</v>
      </c>
      <c r="F162" t="s">
        <v>44</v>
      </c>
      <c r="G162" t="s">
        <v>14</v>
      </c>
      <c r="H162">
        <v>10</v>
      </c>
      <c r="I162" t="s">
        <v>15</v>
      </c>
    </row>
    <row r="163" spans="1:9" x14ac:dyDescent="0.35">
      <c r="A163" t="s">
        <v>193</v>
      </c>
      <c r="B163" s="2">
        <v>45943</v>
      </c>
      <c r="C163" t="s">
        <v>46</v>
      </c>
      <c r="D163" t="s">
        <v>11</v>
      </c>
      <c r="E163" t="s">
        <v>12</v>
      </c>
      <c r="F163" t="s">
        <v>31</v>
      </c>
      <c r="G163" t="s">
        <v>23</v>
      </c>
      <c r="H163">
        <v>67</v>
      </c>
      <c r="I163" t="s">
        <v>15</v>
      </c>
    </row>
    <row r="164" spans="1:9" x14ac:dyDescent="0.35">
      <c r="A164" t="s">
        <v>194</v>
      </c>
      <c r="B164" s="2">
        <v>46018</v>
      </c>
      <c r="C164" t="s">
        <v>46</v>
      </c>
      <c r="D164" t="s">
        <v>11</v>
      </c>
      <c r="E164" t="s">
        <v>12</v>
      </c>
      <c r="F164" t="s">
        <v>18</v>
      </c>
      <c r="G164" t="s">
        <v>19</v>
      </c>
      <c r="H164">
        <v>40</v>
      </c>
      <c r="I164" t="s">
        <v>20</v>
      </c>
    </row>
    <row r="165" spans="1:9" x14ac:dyDescent="0.35">
      <c r="A165" t="s">
        <v>195</v>
      </c>
      <c r="B165" s="2">
        <v>46184</v>
      </c>
      <c r="C165" t="s">
        <v>34</v>
      </c>
      <c r="D165" t="s">
        <v>11</v>
      </c>
      <c r="E165" t="s">
        <v>12</v>
      </c>
      <c r="F165" t="s">
        <v>26</v>
      </c>
      <c r="G165" t="s">
        <v>19</v>
      </c>
      <c r="H165">
        <v>40</v>
      </c>
      <c r="I165" t="s">
        <v>20</v>
      </c>
    </row>
    <row r="166" spans="1:9" x14ac:dyDescent="0.35">
      <c r="A166" t="s">
        <v>196</v>
      </c>
      <c r="B166" s="2">
        <v>46046</v>
      </c>
      <c r="C166" t="s">
        <v>10</v>
      </c>
      <c r="D166" t="s">
        <v>35</v>
      </c>
      <c r="E166" t="s">
        <v>12</v>
      </c>
      <c r="F166" t="s">
        <v>13</v>
      </c>
      <c r="G166" t="s">
        <v>19</v>
      </c>
      <c r="H166">
        <v>7</v>
      </c>
      <c r="I166" t="s">
        <v>37</v>
      </c>
    </row>
    <row r="167" spans="1:9" x14ac:dyDescent="0.35">
      <c r="A167" t="s">
        <v>197</v>
      </c>
      <c r="B167" s="2">
        <v>46240</v>
      </c>
      <c r="C167" t="s">
        <v>46</v>
      </c>
      <c r="D167" t="s">
        <v>11</v>
      </c>
      <c r="E167" t="s">
        <v>39</v>
      </c>
      <c r="F167" t="s">
        <v>18</v>
      </c>
      <c r="G167" t="s">
        <v>19</v>
      </c>
      <c r="H167">
        <v>41</v>
      </c>
      <c r="I167" t="s">
        <v>20</v>
      </c>
    </row>
    <row r="168" spans="1:9" x14ac:dyDescent="0.35">
      <c r="A168" t="s">
        <v>198</v>
      </c>
      <c r="B168" s="2">
        <v>45950</v>
      </c>
      <c r="C168" t="s">
        <v>17</v>
      </c>
      <c r="D168" t="s">
        <v>11</v>
      </c>
      <c r="E168" t="s">
        <v>22</v>
      </c>
      <c r="F168" t="s">
        <v>44</v>
      </c>
      <c r="G168" t="s">
        <v>19</v>
      </c>
      <c r="H168">
        <v>5</v>
      </c>
      <c r="I168" t="s">
        <v>37</v>
      </c>
    </row>
    <row r="169" spans="1:9" x14ac:dyDescent="0.35">
      <c r="A169" t="s">
        <v>199</v>
      </c>
      <c r="B169" s="2">
        <v>46144</v>
      </c>
      <c r="C169" t="s">
        <v>34</v>
      </c>
      <c r="D169" t="s">
        <v>11</v>
      </c>
      <c r="E169" t="s">
        <v>22</v>
      </c>
      <c r="F169" t="s">
        <v>13</v>
      </c>
      <c r="G169" t="s">
        <v>19</v>
      </c>
      <c r="H169">
        <v>28</v>
      </c>
      <c r="I169" t="s">
        <v>37</v>
      </c>
    </row>
    <row r="170" spans="1:9" x14ac:dyDescent="0.35">
      <c r="A170" t="s">
        <v>200</v>
      </c>
      <c r="B170" s="2">
        <v>46197</v>
      </c>
      <c r="C170" t="s">
        <v>28</v>
      </c>
      <c r="D170" t="s">
        <v>25</v>
      </c>
      <c r="E170" t="s">
        <v>12</v>
      </c>
      <c r="F170" t="s">
        <v>44</v>
      </c>
      <c r="G170" t="s">
        <v>19</v>
      </c>
      <c r="H170">
        <v>6</v>
      </c>
      <c r="I170" t="s">
        <v>37</v>
      </c>
    </row>
    <row r="171" spans="1:9" x14ac:dyDescent="0.35">
      <c r="A171" t="s">
        <v>201</v>
      </c>
      <c r="B171" s="2">
        <v>46085</v>
      </c>
      <c r="C171" t="s">
        <v>46</v>
      </c>
      <c r="D171" t="s">
        <v>35</v>
      </c>
      <c r="E171" t="s">
        <v>22</v>
      </c>
      <c r="F171" t="s">
        <v>18</v>
      </c>
      <c r="G171" t="s">
        <v>14</v>
      </c>
      <c r="H171">
        <v>14</v>
      </c>
      <c r="I171" t="s">
        <v>15</v>
      </c>
    </row>
    <row r="172" spans="1:9" x14ac:dyDescent="0.35">
      <c r="A172" t="s">
        <v>202</v>
      </c>
      <c r="B172" s="2">
        <v>46189</v>
      </c>
      <c r="C172" t="s">
        <v>30</v>
      </c>
      <c r="D172" t="s">
        <v>25</v>
      </c>
      <c r="E172" t="s">
        <v>22</v>
      </c>
      <c r="F172" t="s">
        <v>44</v>
      </c>
      <c r="G172" t="s">
        <v>19</v>
      </c>
      <c r="H172">
        <v>4</v>
      </c>
      <c r="I172" t="s">
        <v>37</v>
      </c>
    </row>
    <row r="173" spans="1:9" x14ac:dyDescent="0.35">
      <c r="A173" t="s">
        <v>203</v>
      </c>
      <c r="B173" s="2">
        <v>46003</v>
      </c>
      <c r="C173" t="s">
        <v>17</v>
      </c>
      <c r="D173" t="s">
        <v>11</v>
      </c>
      <c r="E173" t="s">
        <v>22</v>
      </c>
      <c r="F173" t="s">
        <v>44</v>
      </c>
      <c r="G173" t="s">
        <v>14</v>
      </c>
      <c r="H173">
        <v>6</v>
      </c>
      <c r="I173" t="s">
        <v>15</v>
      </c>
    </row>
    <row r="174" spans="1:9" x14ac:dyDescent="0.35">
      <c r="A174" t="s">
        <v>204</v>
      </c>
      <c r="B174" s="2">
        <v>46111</v>
      </c>
      <c r="C174" t="s">
        <v>46</v>
      </c>
      <c r="D174" t="s">
        <v>11</v>
      </c>
      <c r="E174" t="s">
        <v>39</v>
      </c>
      <c r="F174" t="s">
        <v>18</v>
      </c>
      <c r="G174" t="s">
        <v>19</v>
      </c>
      <c r="H174">
        <v>13</v>
      </c>
      <c r="I174" t="s">
        <v>37</v>
      </c>
    </row>
    <row r="175" spans="1:9" x14ac:dyDescent="0.35">
      <c r="A175" t="s">
        <v>205</v>
      </c>
      <c r="B175" s="2">
        <v>45991</v>
      </c>
      <c r="C175" t="s">
        <v>17</v>
      </c>
      <c r="D175" t="s">
        <v>25</v>
      </c>
      <c r="E175" t="s">
        <v>12</v>
      </c>
      <c r="F175" t="s">
        <v>26</v>
      </c>
      <c r="G175" t="s">
        <v>19</v>
      </c>
      <c r="H175">
        <v>17</v>
      </c>
      <c r="I175" t="s">
        <v>37</v>
      </c>
    </row>
    <row r="176" spans="1:9" x14ac:dyDescent="0.35">
      <c r="A176" t="s">
        <v>206</v>
      </c>
      <c r="B176" s="2">
        <v>45999</v>
      </c>
      <c r="C176" t="s">
        <v>30</v>
      </c>
      <c r="D176" t="s">
        <v>35</v>
      </c>
      <c r="E176" t="s">
        <v>12</v>
      </c>
      <c r="F176" t="s">
        <v>31</v>
      </c>
      <c r="G176" t="s">
        <v>19</v>
      </c>
      <c r="H176">
        <v>19</v>
      </c>
      <c r="I176" t="s">
        <v>37</v>
      </c>
    </row>
    <row r="177" spans="1:9" x14ac:dyDescent="0.35">
      <c r="A177" t="s">
        <v>207</v>
      </c>
      <c r="B177" s="2">
        <v>46052</v>
      </c>
      <c r="C177" t="s">
        <v>10</v>
      </c>
      <c r="D177" t="s">
        <v>25</v>
      </c>
      <c r="E177" t="s">
        <v>22</v>
      </c>
      <c r="F177" t="s">
        <v>44</v>
      </c>
      <c r="G177" t="s">
        <v>19</v>
      </c>
      <c r="H177">
        <v>35</v>
      </c>
      <c r="I177" t="s">
        <v>20</v>
      </c>
    </row>
    <row r="178" spans="1:9" x14ac:dyDescent="0.35">
      <c r="A178" t="s">
        <v>208</v>
      </c>
      <c r="B178" s="2">
        <v>46147</v>
      </c>
      <c r="C178" t="s">
        <v>28</v>
      </c>
      <c r="D178" t="s">
        <v>11</v>
      </c>
      <c r="E178" t="s">
        <v>22</v>
      </c>
      <c r="F178" t="s">
        <v>13</v>
      </c>
      <c r="G178" t="s">
        <v>19</v>
      </c>
      <c r="H178">
        <v>13</v>
      </c>
      <c r="I178" t="s">
        <v>37</v>
      </c>
    </row>
    <row r="179" spans="1:9" x14ac:dyDescent="0.35">
      <c r="A179" t="s">
        <v>209</v>
      </c>
      <c r="B179" s="2">
        <v>46295</v>
      </c>
      <c r="C179" t="s">
        <v>46</v>
      </c>
      <c r="D179" t="s">
        <v>11</v>
      </c>
      <c r="E179" t="s">
        <v>22</v>
      </c>
      <c r="F179" t="s">
        <v>31</v>
      </c>
      <c r="G179" t="s">
        <v>19</v>
      </c>
      <c r="H179">
        <v>15</v>
      </c>
      <c r="I179" t="s">
        <v>37</v>
      </c>
    </row>
    <row r="180" spans="1:9" x14ac:dyDescent="0.35">
      <c r="A180" t="s">
        <v>210</v>
      </c>
      <c r="B180" s="2">
        <v>46032</v>
      </c>
      <c r="C180" t="s">
        <v>28</v>
      </c>
      <c r="D180" t="s">
        <v>11</v>
      </c>
      <c r="E180" t="s">
        <v>22</v>
      </c>
      <c r="F180" t="s">
        <v>13</v>
      </c>
      <c r="G180" t="s">
        <v>19</v>
      </c>
      <c r="H180">
        <v>19</v>
      </c>
      <c r="I180" t="s">
        <v>37</v>
      </c>
    </row>
    <row r="181" spans="1:9" x14ac:dyDescent="0.35">
      <c r="A181" t="s">
        <v>211</v>
      </c>
      <c r="B181" s="2">
        <v>46258</v>
      </c>
      <c r="C181" t="s">
        <v>28</v>
      </c>
      <c r="D181" t="s">
        <v>11</v>
      </c>
      <c r="E181" t="s">
        <v>12</v>
      </c>
      <c r="F181" t="s">
        <v>31</v>
      </c>
      <c r="G181" t="s">
        <v>19</v>
      </c>
      <c r="H181">
        <v>38</v>
      </c>
      <c r="I181" t="s">
        <v>20</v>
      </c>
    </row>
    <row r="182" spans="1:9" x14ac:dyDescent="0.35">
      <c r="A182" t="s">
        <v>212</v>
      </c>
      <c r="B182" s="2">
        <v>46167</v>
      </c>
      <c r="C182" t="s">
        <v>28</v>
      </c>
      <c r="D182" t="s">
        <v>11</v>
      </c>
      <c r="E182" t="s">
        <v>12</v>
      </c>
      <c r="F182" t="s">
        <v>18</v>
      </c>
      <c r="G182" t="s">
        <v>19</v>
      </c>
      <c r="H182">
        <v>9</v>
      </c>
      <c r="I182" t="s">
        <v>37</v>
      </c>
    </row>
    <row r="183" spans="1:9" x14ac:dyDescent="0.35">
      <c r="A183" t="s">
        <v>213</v>
      </c>
      <c r="B183" s="2">
        <v>46247</v>
      </c>
      <c r="C183" t="s">
        <v>30</v>
      </c>
      <c r="D183" t="s">
        <v>11</v>
      </c>
      <c r="E183" t="s">
        <v>12</v>
      </c>
      <c r="F183" t="s">
        <v>18</v>
      </c>
      <c r="G183" t="s">
        <v>19</v>
      </c>
      <c r="H183">
        <v>5</v>
      </c>
      <c r="I183" t="s">
        <v>37</v>
      </c>
    </row>
    <row r="184" spans="1:9" x14ac:dyDescent="0.35">
      <c r="A184" t="s">
        <v>214</v>
      </c>
      <c r="B184" s="2">
        <v>46265</v>
      </c>
      <c r="C184" t="s">
        <v>46</v>
      </c>
      <c r="D184" t="s">
        <v>11</v>
      </c>
      <c r="E184" t="s">
        <v>22</v>
      </c>
      <c r="F184" t="s">
        <v>31</v>
      </c>
      <c r="G184" t="s">
        <v>19</v>
      </c>
      <c r="H184">
        <v>38</v>
      </c>
      <c r="I184" t="s">
        <v>20</v>
      </c>
    </row>
    <row r="185" spans="1:9" x14ac:dyDescent="0.35">
      <c r="A185" t="s">
        <v>215</v>
      </c>
      <c r="B185" s="2">
        <v>45959</v>
      </c>
      <c r="C185" t="s">
        <v>28</v>
      </c>
      <c r="D185" t="s">
        <v>35</v>
      </c>
      <c r="E185" t="s">
        <v>12</v>
      </c>
      <c r="F185" t="s">
        <v>13</v>
      </c>
      <c r="G185" t="s">
        <v>23</v>
      </c>
      <c r="H185">
        <v>43</v>
      </c>
      <c r="I185" t="s">
        <v>15</v>
      </c>
    </row>
    <row r="186" spans="1:9" x14ac:dyDescent="0.35">
      <c r="A186" t="s">
        <v>216</v>
      </c>
      <c r="B186" s="2">
        <v>46121</v>
      </c>
      <c r="C186" t="s">
        <v>10</v>
      </c>
      <c r="D186" t="s">
        <v>11</v>
      </c>
      <c r="E186" t="s">
        <v>12</v>
      </c>
      <c r="F186" t="s">
        <v>44</v>
      </c>
      <c r="G186" t="s">
        <v>19</v>
      </c>
      <c r="H186">
        <v>5</v>
      </c>
      <c r="I186" t="s">
        <v>37</v>
      </c>
    </row>
    <row r="187" spans="1:9" x14ac:dyDescent="0.35">
      <c r="A187" t="s">
        <v>217</v>
      </c>
      <c r="B187" s="2">
        <v>46024</v>
      </c>
      <c r="C187" t="s">
        <v>30</v>
      </c>
      <c r="D187" t="s">
        <v>11</v>
      </c>
      <c r="E187" t="s">
        <v>22</v>
      </c>
      <c r="F187" t="s">
        <v>13</v>
      </c>
      <c r="G187" t="s">
        <v>19</v>
      </c>
      <c r="H187">
        <v>36</v>
      </c>
      <c r="I187" t="s">
        <v>20</v>
      </c>
    </row>
    <row r="188" spans="1:9" x14ac:dyDescent="0.35">
      <c r="A188" t="s">
        <v>218</v>
      </c>
      <c r="B188" s="2">
        <v>46232</v>
      </c>
      <c r="C188" t="s">
        <v>34</v>
      </c>
      <c r="D188" t="s">
        <v>11</v>
      </c>
      <c r="E188" t="s">
        <v>39</v>
      </c>
      <c r="F188" t="s">
        <v>26</v>
      </c>
      <c r="G188" t="s">
        <v>23</v>
      </c>
      <c r="H188">
        <v>72</v>
      </c>
      <c r="I188" t="s">
        <v>15</v>
      </c>
    </row>
    <row r="189" spans="1:9" x14ac:dyDescent="0.35">
      <c r="A189" t="s">
        <v>219</v>
      </c>
      <c r="B189" s="2">
        <v>46085</v>
      </c>
      <c r="C189" t="s">
        <v>46</v>
      </c>
      <c r="D189" t="s">
        <v>11</v>
      </c>
      <c r="E189" t="s">
        <v>12</v>
      </c>
      <c r="F189" t="s">
        <v>31</v>
      </c>
      <c r="G189" t="s">
        <v>19</v>
      </c>
      <c r="H189">
        <v>39</v>
      </c>
      <c r="I189" t="s">
        <v>20</v>
      </c>
    </row>
    <row r="190" spans="1:9" x14ac:dyDescent="0.35">
      <c r="A190" t="s">
        <v>220</v>
      </c>
      <c r="B190" s="2">
        <v>46179</v>
      </c>
      <c r="C190" t="s">
        <v>30</v>
      </c>
      <c r="D190" t="s">
        <v>11</v>
      </c>
      <c r="E190" t="s">
        <v>22</v>
      </c>
      <c r="F190" t="s">
        <v>13</v>
      </c>
      <c r="G190" t="s">
        <v>19</v>
      </c>
      <c r="H190">
        <v>24</v>
      </c>
      <c r="I190" t="s">
        <v>37</v>
      </c>
    </row>
    <row r="191" spans="1:9" x14ac:dyDescent="0.35">
      <c r="A191" t="s">
        <v>221</v>
      </c>
      <c r="B191" s="2">
        <v>46289</v>
      </c>
      <c r="C191" t="s">
        <v>17</v>
      </c>
      <c r="D191" t="s">
        <v>25</v>
      </c>
      <c r="E191" t="s">
        <v>39</v>
      </c>
      <c r="F191" t="s">
        <v>18</v>
      </c>
      <c r="G191" t="s">
        <v>14</v>
      </c>
      <c r="H191">
        <v>18</v>
      </c>
      <c r="I191" t="s">
        <v>15</v>
      </c>
    </row>
    <row r="192" spans="1:9" x14ac:dyDescent="0.35">
      <c r="A192" t="s">
        <v>222</v>
      </c>
      <c r="B192" s="2">
        <v>45970</v>
      </c>
      <c r="C192" t="s">
        <v>34</v>
      </c>
      <c r="D192" t="s">
        <v>35</v>
      </c>
      <c r="E192" t="s">
        <v>39</v>
      </c>
      <c r="F192" t="s">
        <v>31</v>
      </c>
      <c r="G192" t="s">
        <v>14</v>
      </c>
      <c r="H192">
        <v>9</v>
      </c>
      <c r="I192" t="s">
        <v>15</v>
      </c>
    </row>
    <row r="193" spans="1:9" x14ac:dyDescent="0.35">
      <c r="A193" t="s">
        <v>223</v>
      </c>
      <c r="B193" s="2">
        <v>45945</v>
      </c>
      <c r="C193" t="s">
        <v>17</v>
      </c>
      <c r="D193" t="s">
        <v>11</v>
      </c>
      <c r="E193" t="s">
        <v>39</v>
      </c>
      <c r="F193" t="s">
        <v>44</v>
      </c>
      <c r="G193" t="s">
        <v>19</v>
      </c>
      <c r="H193">
        <v>14</v>
      </c>
      <c r="I193" t="s">
        <v>37</v>
      </c>
    </row>
    <row r="194" spans="1:9" x14ac:dyDescent="0.35">
      <c r="A194" t="s">
        <v>224</v>
      </c>
      <c r="B194" s="2">
        <v>45998</v>
      </c>
      <c r="C194" t="s">
        <v>46</v>
      </c>
      <c r="D194" t="s">
        <v>11</v>
      </c>
      <c r="E194" t="s">
        <v>12</v>
      </c>
      <c r="F194" t="s">
        <v>26</v>
      </c>
      <c r="G194" t="s">
        <v>19</v>
      </c>
      <c r="H194">
        <v>24</v>
      </c>
      <c r="I194" t="s">
        <v>37</v>
      </c>
    </row>
    <row r="195" spans="1:9" x14ac:dyDescent="0.35">
      <c r="A195" t="s">
        <v>225</v>
      </c>
      <c r="B195" s="2">
        <v>46285</v>
      </c>
      <c r="C195" t="s">
        <v>46</v>
      </c>
      <c r="D195" t="s">
        <v>11</v>
      </c>
      <c r="E195" t="s">
        <v>12</v>
      </c>
      <c r="F195" t="s">
        <v>44</v>
      </c>
      <c r="G195" t="s">
        <v>19</v>
      </c>
      <c r="H195">
        <v>11</v>
      </c>
      <c r="I195" t="s">
        <v>37</v>
      </c>
    </row>
    <row r="196" spans="1:9" x14ac:dyDescent="0.35">
      <c r="A196" t="s">
        <v>226</v>
      </c>
      <c r="B196" s="2">
        <v>46124</v>
      </c>
      <c r="C196" t="s">
        <v>17</v>
      </c>
      <c r="D196" t="s">
        <v>11</v>
      </c>
      <c r="E196" t="s">
        <v>22</v>
      </c>
      <c r="F196" t="s">
        <v>18</v>
      </c>
      <c r="G196" t="s">
        <v>19</v>
      </c>
      <c r="H196">
        <v>40</v>
      </c>
      <c r="I196" t="s">
        <v>20</v>
      </c>
    </row>
    <row r="197" spans="1:9" x14ac:dyDescent="0.35">
      <c r="A197" t="s">
        <v>227</v>
      </c>
      <c r="B197" s="2">
        <v>45971</v>
      </c>
      <c r="C197" t="s">
        <v>10</v>
      </c>
      <c r="D197" t="s">
        <v>11</v>
      </c>
      <c r="E197" t="s">
        <v>22</v>
      </c>
      <c r="F197" t="s">
        <v>31</v>
      </c>
      <c r="G197" t="s">
        <v>14</v>
      </c>
      <c r="H197">
        <v>29</v>
      </c>
      <c r="I197" t="s">
        <v>15</v>
      </c>
    </row>
    <row r="198" spans="1:9" x14ac:dyDescent="0.35">
      <c r="A198" t="s">
        <v>228</v>
      </c>
      <c r="B198" s="2">
        <v>45973</v>
      </c>
      <c r="C198" t="s">
        <v>28</v>
      </c>
      <c r="D198" t="s">
        <v>25</v>
      </c>
      <c r="E198" t="s">
        <v>12</v>
      </c>
      <c r="F198" t="s">
        <v>13</v>
      </c>
      <c r="G198" t="s">
        <v>19</v>
      </c>
      <c r="H198">
        <v>43</v>
      </c>
      <c r="I198" t="s">
        <v>20</v>
      </c>
    </row>
    <row r="199" spans="1:9" x14ac:dyDescent="0.35">
      <c r="A199" t="s">
        <v>229</v>
      </c>
      <c r="B199" s="2">
        <v>46156</v>
      </c>
      <c r="C199" t="s">
        <v>17</v>
      </c>
      <c r="D199" t="s">
        <v>11</v>
      </c>
      <c r="E199" t="s">
        <v>12</v>
      </c>
      <c r="F199" t="s">
        <v>18</v>
      </c>
      <c r="G199" t="s">
        <v>23</v>
      </c>
      <c r="H199">
        <v>56</v>
      </c>
      <c r="I199" t="s">
        <v>15</v>
      </c>
    </row>
    <row r="200" spans="1:9" x14ac:dyDescent="0.35">
      <c r="A200" t="s">
        <v>230</v>
      </c>
      <c r="B200" s="2">
        <v>46088</v>
      </c>
      <c r="C200" t="s">
        <v>17</v>
      </c>
      <c r="D200" t="s">
        <v>11</v>
      </c>
      <c r="E200" t="s">
        <v>39</v>
      </c>
      <c r="F200" t="s">
        <v>13</v>
      </c>
      <c r="G200" t="s">
        <v>19</v>
      </c>
      <c r="H200">
        <v>17</v>
      </c>
      <c r="I200" t="s">
        <v>37</v>
      </c>
    </row>
    <row r="201" spans="1:9" x14ac:dyDescent="0.35">
      <c r="A201" t="s">
        <v>231</v>
      </c>
      <c r="B201" s="2">
        <v>46001</v>
      </c>
      <c r="C201" t="s">
        <v>34</v>
      </c>
      <c r="D201" t="s">
        <v>35</v>
      </c>
      <c r="E201" t="s">
        <v>22</v>
      </c>
      <c r="F201" t="s">
        <v>13</v>
      </c>
      <c r="G201" t="s">
        <v>19</v>
      </c>
      <c r="H201">
        <v>28</v>
      </c>
      <c r="I201" t="s">
        <v>37</v>
      </c>
    </row>
    <row r="202" spans="1:9" x14ac:dyDescent="0.35">
      <c r="A202" t="s">
        <v>232</v>
      </c>
      <c r="B202" s="2">
        <v>46222</v>
      </c>
      <c r="C202" t="s">
        <v>30</v>
      </c>
      <c r="D202" t="s">
        <v>11</v>
      </c>
      <c r="E202" t="s">
        <v>12</v>
      </c>
      <c r="F202" t="s">
        <v>13</v>
      </c>
      <c r="G202" t="s">
        <v>19</v>
      </c>
      <c r="H202">
        <v>4</v>
      </c>
      <c r="I202" t="s">
        <v>37</v>
      </c>
    </row>
    <row r="203" spans="1:9" x14ac:dyDescent="0.35">
      <c r="A203" t="s">
        <v>233</v>
      </c>
      <c r="B203" s="2">
        <v>46028</v>
      </c>
      <c r="C203" t="s">
        <v>46</v>
      </c>
      <c r="D203" t="s">
        <v>11</v>
      </c>
      <c r="E203" t="s">
        <v>39</v>
      </c>
      <c r="F203" t="s">
        <v>13</v>
      </c>
      <c r="G203" t="s">
        <v>14</v>
      </c>
      <c r="H203">
        <v>24</v>
      </c>
      <c r="I203" t="s">
        <v>15</v>
      </c>
    </row>
    <row r="204" spans="1:9" x14ac:dyDescent="0.35">
      <c r="A204" t="s">
        <v>234</v>
      </c>
      <c r="B204" s="2">
        <v>46064</v>
      </c>
      <c r="C204" t="s">
        <v>34</v>
      </c>
      <c r="D204" t="s">
        <v>25</v>
      </c>
      <c r="E204" t="s">
        <v>12</v>
      </c>
      <c r="F204" t="s">
        <v>18</v>
      </c>
      <c r="G204" t="s">
        <v>19</v>
      </c>
      <c r="H204">
        <v>24</v>
      </c>
      <c r="I204" t="s">
        <v>37</v>
      </c>
    </row>
    <row r="205" spans="1:9" x14ac:dyDescent="0.35">
      <c r="A205" t="s">
        <v>235</v>
      </c>
      <c r="B205" s="2">
        <v>46175</v>
      </c>
      <c r="C205" t="s">
        <v>34</v>
      </c>
      <c r="D205" t="s">
        <v>11</v>
      </c>
      <c r="E205" t="s">
        <v>22</v>
      </c>
      <c r="F205" t="s">
        <v>44</v>
      </c>
      <c r="G205" t="s">
        <v>19</v>
      </c>
      <c r="H205">
        <v>40</v>
      </c>
      <c r="I205" t="s">
        <v>20</v>
      </c>
    </row>
    <row r="206" spans="1:9" x14ac:dyDescent="0.35">
      <c r="A206" t="s">
        <v>236</v>
      </c>
      <c r="B206" s="2">
        <v>46202</v>
      </c>
      <c r="C206" t="s">
        <v>17</v>
      </c>
      <c r="D206" t="s">
        <v>11</v>
      </c>
      <c r="E206" t="s">
        <v>12</v>
      </c>
      <c r="F206" t="s">
        <v>31</v>
      </c>
      <c r="G206" t="s">
        <v>19</v>
      </c>
      <c r="H206">
        <v>26</v>
      </c>
      <c r="I206" t="s">
        <v>37</v>
      </c>
    </row>
    <row r="207" spans="1:9" x14ac:dyDescent="0.35">
      <c r="A207" t="s">
        <v>237</v>
      </c>
      <c r="B207" s="2">
        <v>46082</v>
      </c>
      <c r="C207" t="s">
        <v>30</v>
      </c>
      <c r="D207" t="s">
        <v>11</v>
      </c>
      <c r="E207" t="s">
        <v>12</v>
      </c>
      <c r="F207" t="s">
        <v>18</v>
      </c>
      <c r="G207" t="s">
        <v>23</v>
      </c>
      <c r="H207">
        <v>84</v>
      </c>
      <c r="I207" t="s">
        <v>15</v>
      </c>
    </row>
    <row r="208" spans="1:9" x14ac:dyDescent="0.35">
      <c r="A208" t="s">
        <v>238</v>
      </c>
      <c r="B208" s="2">
        <v>46058</v>
      </c>
      <c r="C208" t="s">
        <v>17</v>
      </c>
      <c r="D208" t="s">
        <v>11</v>
      </c>
      <c r="E208" t="s">
        <v>39</v>
      </c>
      <c r="F208" t="s">
        <v>18</v>
      </c>
      <c r="G208" t="s">
        <v>19</v>
      </c>
      <c r="H208">
        <v>24</v>
      </c>
      <c r="I208" t="s">
        <v>37</v>
      </c>
    </row>
    <row r="209" spans="1:9" x14ac:dyDescent="0.35">
      <c r="A209" t="s">
        <v>239</v>
      </c>
      <c r="B209" s="2">
        <v>46175</v>
      </c>
      <c r="C209" t="s">
        <v>17</v>
      </c>
      <c r="D209" t="s">
        <v>35</v>
      </c>
      <c r="E209" t="s">
        <v>22</v>
      </c>
      <c r="F209" t="s">
        <v>13</v>
      </c>
      <c r="G209" t="s">
        <v>14</v>
      </c>
      <c r="H209">
        <v>21</v>
      </c>
      <c r="I209" t="s">
        <v>15</v>
      </c>
    </row>
    <row r="210" spans="1:9" x14ac:dyDescent="0.35">
      <c r="A210" t="s">
        <v>240</v>
      </c>
      <c r="B210" s="2">
        <v>46265</v>
      </c>
      <c r="C210" t="s">
        <v>30</v>
      </c>
      <c r="D210" t="s">
        <v>11</v>
      </c>
      <c r="E210" t="s">
        <v>22</v>
      </c>
      <c r="F210" t="s">
        <v>18</v>
      </c>
      <c r="G210" t="s">
        <v>14</v>
      </c>
      <c r="H210">
        <v>9</v>
      </c>
      <c r="I210" t="s">
        <v>15</v>
      </c>
    </row>
    <row r="211" spans="1:9" x14ac:dyDescent="0.35">
      <c r="A211" t="s">
        <v>241</v>
      </c>
      <c r="B211" s="2">
        <v>45940</v>
      </c>
      <c r="C211" t="s">
        <v>30</v>
      </c>
      <c r="D211" t="s">
        <v>25</v>
      </c>
      <c r="E211" t="s">
        <v>12</v>
      </c>
      <c r="F211" t="s">
        <v>13</v>
      </c>
      <c r="G211" t="s">
        <v>19</v>
      </c>
      <c r="H211">
        <v>36</v>
      </c>
      <c r="I211" t="s">
        <v>20</v>
      </c>
    </row>
    <row r="212" spans="1:9" x14ac:dyDescent="0.35">
      <c r="A212" t="s">
        <v>242</v>
      </c>
      <c r="B212" s="2">
        <v>46040</v>
      </c>
      <c r="C212" t="s">
        <v>10</v>
      </c>
      <c r="D212" t="s">
        <v>11</v>
      </c>
      <c r="E212" t="s">
        <v>22</v>
      </c>
      <c r="F212" t="s">
        <v>13</v>
      </c>
      <c r="G212" t="s">
        <v>19</v>
      </c>
      <c r="H212">
        <v>37</v>
      </c>
      <c r="I212" t="s">
        <v>20</v>
      </c>
    </row>
    <row r="213" spans="1:9" x14ac:dyDescent="0.35">
      <c r="A213" t="s">
        <v>243</v>
      </c>
      <c r="B213" s="2">
        <v>46082</v>
      </c>
      <c r="C213" t="s">
        <v>46</v>
      </c>
      <c r="D213" t="s">
        <v>25</v>
      </c>
      <c r="E213" t="s">
        <v>39</v>
      </c>
      <c r="F213" t="s">
        <v>18</v>
      </c>
      <c r="G213" t="s">
        <v>19</v>
      </c>
      <c r="H213">
        <v>7</v>
      </c>
      <c r="I213" t="s">
        <v>37</v>
      </c>
    </row>
    <row r="214" spans="1:9" x14ac:dyDescent="0.35">
      <c r="A214" t="s">
        <v>244</v>
      </c>
      <c r="B214" s="2">
        <v>45983</v>
      </c>
      <c r="C214" t="s">
        <v>34</v>
      </c>
      <c r="D214" t="s">
        <v>11</v>
      </c>
      <c r="E214" t="s">
        <v>12</v>
      </c>
      <c r="F214" t="s">
        <v>44</v>
      </c>
      <c r="G214" t="s">
        <v>19</v>
      </c>
      <c r="H214">
        <v>20</v>
      </c>
      <c r="I214" t="s">
        <v>37</v>
      </c>
    </row>
    <row r="215" spans="1:9" x14ac:dyDescent="0.35">
      <c r="A215" t="s">
        <v>245</v>
      </c>
      <c r="B215" s="2">
        <v>46273</v>
      </c>
      <c r="C215" t="s">
        <v>34</v>
      </c>
      <c r="D215" t="s">
        <v>35</v>
      </c>
      <c r="E215" t="s">
        <v>22</v>
      </c>
      <c r="F215" t="s">
        <v>26</v>
      </c>
      <c r="G215" t="s">
        <v>19</v>
      </c>
      <c r="H215">
        <v>18</v>
      </c>
      <c r="I215" t="s">
        <v>37</v>
      </c>
    </row>
    <row r="216" spans="1:9" x14ac:dyDescent="0.35">
      <c r="A216" t="s">
        <v>246</v>
      </c>
      <c r="B216" s="2">
        <v>46054</v>
      </c>
      <c r="C216" t="s">
        <v>46</v>
      </c>
      <c r="D216" t="s">
        <v>11</v>
      </c>
      <c r="E216" t="s">
        <v>12</v>
      </c>
      <c r="F216" t="s">
        <v>13</v>
      </c>
      <c r="G216" t="s">
        <v>19</v>
      </c>
      <c r="H216">
        <v>23</v>
      </c>
      <c r="I216" t="s">
        <v>37</v>
      </c>
    </row>
    <row r="217" spans="1:9" x14ac:dyDescent="0.35">
      <c r="A217" t="s">
        <v>247</v>
      </c>
      <c r="B217" s="2">
        <v>46186</v>
      </c>
      <c r="C217" t="s">
        <v>34</v>
      </c>
      <c r="D217" t="s">
        <v>11</v>
      </c>
      <c r="E217" t="s">
        <v>22</v>
      </c>
      <c r="F217" t="s">
        <v>31</v>
      </c>
      <c r="G217" t="s">
        <v>19</v>
      </c>
      <c r="H217">
        <v>17</v>
      </c>
      <c r="I217" t="s">
        <v>37</v>
      </c>
    </row>
    <row r="218" spans="1:9" x14ac:dyDescent="0.35">
      <c r="A218" t="s">
        <v>248</v>
      </c>
      <c r="B218" s="2">
        <v>46113</v>
      </c>
      <c r="C218" t="s">
        <v>34</v>
      </c>
      <c r="D218" t="s">
        <v>11</v>
      </c>
      <c r="E218" t="s">
        <v>12</v>
      </c>
      <c r="F218" t="s">
        <v>31</v>
      </c>
      <c r="G218" t="s">
        <v>19</v>
      </c>
      <c r="H218">
        <v>20</v>
      </c>
      <c r="I218" t="s">
        <v>37</v>
      </c>
    </row>
    <row r="219" spans="1:9" x14ac:dyDescent="0.35">
      <c r="A219" t="s">
        <v>249</v>
      </c>
      <c r="B219" s="2">
        <v>46053</v>
      </c>
      <c r="C219" t="s">
        <v>17</v>
      </c>
      <c r="D219" t="s">
        <v>11</v>
      </c>
      <c r="E219" t="s">
        <v>12</v>
      </c>
      <c r="F219" t="s">
        <v>31</v>
      </c>
      <c r="G219" t="s">
        <v>19</v>
      </c>
      <c r="H219">
        <v>24</v>
      </c>
      <c r="I219" t="s">
        <v>37</v>
      </c>
    </row>
    <row r="220" spans="1:9" x14ac:dyDescent="0.35">
      <c r="A220" t="s">
        <v>250</v>
      </c>
      <c r="B220" s="2">
        <v>46149</v>
      </c>
      <c r="C220" t="s">
        <v>28</v>
      </c>
      <c r="D220" t="s">
        <v>11</v>
      </c>
      <c r="E220" t="s">
        <v>12</v>
      </c>
      <c r="F220" t="s">
        <v>26</v>
      </c>
      <c r="G220" t="s">
        <v>19</v>
      </c>
      <c r="H220">
        <v>5</v>
      </c>
      <c r="I220" t="s">
        <v>37</v>
      </c>
    </row>
    <row r="221" spans="1:9" x14ac:dyDescent="0.35">
      <c r="A221" t="s">
        <v>251</v>
      </c>
      <c r="B221" s="2">
        <v>45971</v>
      </c>
      <c r="C221" t="s">
        <v>46</v>
      </c>
      <c r="D221" t="s">
        <v>25</v>
      </c>
      <c r="E221" t="s">
        <v>22</v>
      </c>
      <c r="F221" t="s">
        <v>26</v>
      </c>
      <c r="G221" t="s">
        <v>19</v>
      </c>
      <c r="H221">
        <v>20</v>
      </c>
      <c r="I221" t="s">
        <v>37</v>
      </c>
    </row>
    <row r="222" spans="1:9" x14ac:dyDescent="0.35">
      <c r="A222" t="s">
        <v>252</v>
      </c>
      <c r="B222" s="2">
        <v>46090</v>
      </c>
      <c r="C222" t="s">
        <v>34</v>
      </c>
      <c r="D222" t="s">
        <v>11</v>
      </c>
      <c r="E222" t="s">
        <v>22</v>
      </c>
      <c r="F222" t="s">
        <v>18</v>
      </c>
      <c r="G222" t="s">
        <v>19</v>
      </c>
      <c r="H222">
        <v>9</v>
      </c>
      <c r="I222" t="s">
        <v>37</v>
      </c>
    </row>
    <row r="223" spans="1:9" x14ac:dyDescent="0.35">
      <c r="A223" t="s">
        <v>253</v>
      </c>
      <c r="B223" s="2">
        <v>46018</v>
      </c>
      <c r="C223" t="s">
        <v>46</v>
      </c>
      <c r="D223" t="s">
        <v>11</v>
      </c>
      <c r="E223" t="s">
        <v>39</v>
      </c>
      <c r="F223" t="s">
        <v>13</v>
      </c>
      <c r="G223" t="s">
        <v>19</v>
      </c>
      <c r="H223">
        <v>4</v>
      </c>
      <c r="I223" t="s">
        <v>37</v>
      </c>
    </row>
    <row r="224" spans="1:9" x14ac:dyDescent="0.35">
      <c r="A224" t="s">
        <v>254</v>
      </c>
      <c r="B224" s="2">
        <v>46018</v>
      </c>
      <c r="C224" t="s">
        <v>10</v>
      </c>
      <c r="D224" t="s">
        <v>11</v>
      </c>
      <c r="E224" t="s">
        <v>39</v>
      </c>
      <c r="F224" t="s">
        <v>18</v>
      </c>
      <c r="G224" t="s">
        <v>14</v>
      </c>
      <c r="H224">
        <v>20</v>
      </c>
      <c r="I224" t="s">
        <v>15</v>
      </c>
    </row>
    <row r="225" spans="1:9" x14ac:dyDescent="0.35">
      <c r="A225" t="s">
        <v>255</v>
      </c>
      <c r="B225" s="2">
        <v>46048</v>
      </c>
      <c r="C225" t="s">
        <v>34</v>
      </c>
      <c r="D225" t="s">
        <v>11</v>
      </c>
      <c r="E225" t="s">
        <v>12</v>
      </c>
      <c r="F225" t="s">
        <v>44</v>
      </c>
      <c r="G225" t="s">
        <v>19</v>
      </c>
      <c r="H225">
        <v>5</v>
      </c>
      <c r="I225" t="s">
        <v>37</v>
      </c>
    </row>
    <row r="226" spans="1:9" x14ac:dyDescent="0.35">
      <c r="A226" t="s">
        <v>256</v>
      </c>
      <c r="B226" s="2">
        <v>46032</v>
      </c>
      <c r="C226" t="s">
        <v>28</v>
      </c>
      <c r="D226" t="s">
        <v>35</v>
      </c>
      <c r="E226" t="s">
        <v>12</v>
      </c>
      <c r="F226" t="s">
        <v>18</v>
      </c>
      <c r="G226" t="s">
        <v>19</v>
      </c>
      <c r="H226">
        <v>42</v>
      </c>
      <c r="I226" t="s">
        <v>20</v>
      </c>
    </row>
    <row r="227" spans="1:9" x14ac:dyDescent="0.35">
      <c r="A227" t="s">
        <v>257</v>
      </c>
      <c r="B227" s="2">
        <v>46060</v>
      </c>
      <c r="C227" t="s">
        <v>30</v>
      </c>
      <c r="D227" t="s">
        <v>11</v>
      </c>
      <c r="E227" t="s">
        <v>39</v>
      </c>
      <c r="F227" t="s">
        <v>44</v>
      </c>
      <c r="G227" t="s">
        <v>19</v>
      </c>
      <c r="H227">
        <v>15</v>
      </c>
      <c r="I227" t="s">
        <v>37</v>
      </c>
    </row>
    <row r="228" spans="1:9" x14ac:dyDescent="0.35">
      <c r="A228" t="s">
        <v>258</v>
      </c>
      <c r="B228" s="2">
        <v>46036</v>
      </c>
      <c r="C228" t="s">
        <v>46</v>
      </c>
      <c r="D228" t="s">
        <v>11</v>
      </c>
      <c r="E228" t="s">
        <v>12</v>
      </c>
      <c r="F228" t="s">
        <v>26</v>
      </c>
      <c r="G228" t="s">
        <v>19</v>
      </c>
      <c r="H228">
        <v>13</v>
      </c>
      <c r="I228" t="s">
        <v>37</v>
      </c>
    </row>
    <row r="229" spans="1:9" x14ac:dyDescent="0.35">
      <c r="A229" t="s">
        <v>259</v>
      </c>
      <c r="B229" s="2">
        <v>46025</v>
      </c>
      <c r="C229" t="s">
        <v>46</v>
      </c>
      <c r="D229" t="s">
        <v>11</v>
      </c>
      <c r="E229" t="s">
        <v>39</v>
      </c>
      <c r="F229" t="s">
        <v>31</v>
      </c>
      <c r="G229" t="s">
        <v>19</v>
      </c>
      <c r="H229">
        <v>4</v>
      </c>
      <c r="I229" t="s">
        <v>37</v>
      </c>
    </row>
    <row r="230" spans="1:9" x14ac:dyDescent="0.35">
      <c r="A230" t="s">
        <v>260</v>
      </c>
      <c r="B230" s="2">
        <v>46105</v>
      </c>
      <c r="C230" t="s">
        <v>46</v>
      </c>
      <c r="D230" t="s">
        <v>11</v>
      </c>
      <c r="E230" t="s">
        <v>12</v>
      </c>
      <c r="F230" t="s">
        <v>26</v>
      </c>
      <c r="G230" t="s">
        <v>19</v>
      </c>
      <c r="H230">
        <v>28</v>
      </c>
      <c r="I230" t="s">
        <v>37</v>
      </c>
    </row>
    <row r="231" spans="1:9" x14ac:dyDescent="0.35">
      <c r="A231" t="s">
        <v>261</v>
      </c>
      <c r="B231" s="2">
        <v>46073</v>
      </c>
      <c r="C231" t="s">
        <v>10</v>
      </c>
      <c r="D231" t="s">
        <v>25</v>
      </c>
      <c r="E231" t="s">
        <v>22</v>
      </c>
      <c r="F231" t="s">
        <v>26</v>
      </c>
      <c r="G231" t="s">
        <v>19</v>
      </c>
      <c r="H231">
        <v>6</v>
      </c>
      <c r="I231" t="s">
        <v>37</v>
      </c>
    </row>
    <row r="232" spans="1:9" x14ac:dyDescent="0.35">
      <c r="A232" t="s">
        <v>262</v>
      </c>
      <c r="B232" s="2">
        <v>46282</v>
      </c>
      <c r="C232" t="s">
        <v>17</v>
      </c>
      <c r="D232" t="s">
        <v>25</v>
      </c>
      <c r="E232" t="s">
        <v>12</v>
      </c>
      <c r="F232" t="s">
        <v>26</v>
      </c>
      <c r="G232" t="s">
        <v>23</v>
      </c>
      <c r="H232">
        <v>52</v>
      </c>
      <c r="I232" t="s">
        <v>15</v>
      </c>
    </row>
    <row r="233" spans="1:9" x14ac:dyDescent="0.35">
      <c r="A233" t="s">
        <v>263</v>
      </c>
      <c r="B233" s="2">
        <v>46004</v>
      </c>
      <c r="C233" t="s">
        <v>46</v>
      </c>
      <c r="D233" t="s">
        <v>11</v>
      </c>
      <c r="E233" t="s">
        <v>22</v>
      </c>
      <c r="F233" t="s">
        <v>13</v>
      </c>
      <c r="G233" t="s">
        <v>19</v>
      </c>
      <c r="H233">
        <v>40</v>
      </c>
      <c r="I233" t="s">
        <v>20</v>
      </c>
    </row>
    <row r="234" spans="1:9" x14ac:dyDescent="0.35">
      <c r="A234" t="s">
        <v>264</v>
      </c>
      <c r="B234" s="2">
        <v>46006</v>
      </c>
      <c r="C234" t="s">
        <v>46</v>
      </c>
      <c r="D234" t="s">
        <v>11</v>
      </c>
      <c r="E234" t="s">
        <v>12</v>
      </c>
      <c r="F234" t="s">
        <v>13</v>
      </c>
      <c r="G234" t="s">
        <v>19</v>
      </c>
      <c r="H234">
        <v>12</v>
      </c>
      <c r="I234" t="s">
        <v>37</v>
      </c>
    </row>
    <row r="235" spans="1:9" x14ac:dyDescent="0.35">
      <c r="A235" t="s">
        <v>265</v>
      </c>
      <c r="B235" s="2">
        <v>46258</v>
      </c>
      <c r="C235" t="s">
        <v>28</v>
      </c>
      <c r="D235" t="s">
        <v>35</v>
      </c>
      <c r="E235" t="s">
        <v>22</v>
      </c>
      <c r="F235" t="s">
        <v>31</v>
      </c>
      <c r="G235" t="s">
        <v>19</v>
      </c>
      <c r="H235">
        <v>3</v>
      </c>
      <c r="I235" t="s">
        <v>37</v>
      </c>
    </row>
    <row r="236" spans="1:9" x14ac:dyDescent="0.35">
      <c r="A236" t="s">
        <v>266</v>
      </c>
      <c r="B236" s="2">
        <v>46241</v>
      </c>
      <c r="C236" t="s">
        <v>46</v>
      </c>
      <c r="D236" t="s">
        <v>11</v>
      </c>
      <c r="E236" t="s">
        <v>22</v>
      </c>
      <c r="F236" t="s">
        <v>18</v>
      </c>
      <c r="G236" t="s">
        <v>23</v>
      </c>
      <c r="H236">
        <v>31</v>
      </c>
      <c r="I236" t="s">
        <v>15</v>
      </c>
    </row>
    <row r="237" spans="1:9" x14ac:dyDescent="0.35">
      <c r="A237" t="s">
        <v>267</v>
      </c>
      <c r="B237" s="2">
        <v>46066</v>
      </c>
      <c r="C237" t="s">
        <v>10</v>
      </c>
      <c r="D237" t="s">
        <v>11</v>
      </c>
      <c r="E237" t="s">
        <v>12</v>
      </c>
      <c r="F237" t="s">
        <v>18</v>
      </c>
      <c r="G237" t="s">
        <v>23</v>
      </c>
      <c r="H237">
        <v>58</v>
      </c>
      <c r="I237" t="s">
        <v>15</v>
      </c>
    </row>
    <row r="238" spans="1:9" x14ac:dyDescent="0.35">
      <c r="A238" t="s">
        <v>268</v>
      </c>
      <c r="B238" s="2">
        <v>46014</v>
      </c>
      <c r="C238" t="s">
        <v>46</v>
      </c>
      <c r="D238" t="s">
        <v>11</v>
      </c>
      <c r="E238" t="s">
        <v>12</v>
      </c>
      <c r="F238" t="s">
        <v>13</v>
      </c>
      <c r="G238" t="s">
        <v>19</v>
      </c>
      <c r="H238">
        <v>9</v>
      </c>
      <c r="I238" t="s">
        <v>37</v>
      </c>
    </row>
    <row r="239" spans="1:9" x14ac:dyDescent="0.35">
      <c r="A239" t="s">
        <v>269</v>
      </c>
      <c r="B239" s="2">
        <v>46220</v>
      </c>
      <c r="C239" t="s">
        <v>17</v>
      </c>
      <c r="D239" t="s">
        <v>11</v>
      </c>
      <c r="E239" t="s">
        <v>12</v>
      </c>
      <c r="F239" t="s">
        <v>18</v>
      </c>
      <c r="G239" t="s">
        <v>19</v>
      </c>
      <c r="H239">
        <v>6</v>
      </c>
      <c r="I239" t="s">
        <v>37</v>
      </c>
    </row>
    <row r="240" spans="1:9" x14ac:dyDescent="0.35">
      <c r="A240" t="s">
        <v>270</v>
      </c>
      <c r="B240" s="2">
        <v>45987</v>
      </c>
      <c r="C240" t="s">
        <v>17</v>
      </c>
      <c r="D240" t="s">
        <v>35</v>
      </c>
      <c r="E240" t="s">
        <v>22</v>
      </c>
      <c r="F240" t="s">
        <v>13</v>
      </c>
      <c r="G240" t="s">
        <v>19</v>
      </c>
      <c r="H240">
        <v>32</v>
      </c>
      <c r="I240" t="s">
        <v>20</v>
      </c>
    </row>
    <row r="241" spans="1:9" x14ac:dyDescent="0.35">
      <c r="A241" t="s">
        <v>271</v>
      </c>
      <c r="B241" s="2">
        <v>45942</v>
      </c>
      <c r="C241" t="s">
        <v>17</v>
      </c>
      <c r="D241" t="s">
        <v>25</v>
      </c>
      <c r="E241" t="s">
        <v>22</v>
      </c>
      <c r="F241" t="s">
        <v>18</v>
      </c>
      <c r="G241" t="s">
        <v>19</v>
      </c>
      <c r="H241">
        <v>28</v>
      </c>
      <c r="I241" t="s">
        <v>37</v>
      </c>
    </row>
    <row r="242" spans="1:9" x14ac:dyDescent="0.35">
      <c r="A242" t="s">
        <v>272</v>
      </c>
      <c r="B242" s="2">
        <v>46225</v>
      </c>
      <c r="C242" t="s">
        <v>30</v>
      </c>
      <c r="D242" t="s">
        <v>11</v>
      </c>
      <c r="E242" t="s">
        <v>12</v>
      </c>
      <c r="F242" t="s">
        <v>44</v>
      </c>
      <c r="G242" t="s">
        <v>19</v>
      </c>
      <c r="H242">
        <v>31</v>
      </c>
      <c r="I242" t="s">
        <v>20</v>
      </c>
    </row>
    <row r="243" spans="1:9" x14ac:dyDescent="0.35">
      <c r="A243" t="s">
        <v>273</v>
      </c>
      <c r="B243" s="2">
        <v>46125</v>
      </c>
      <c r="C243" t="s">
        <v>17</v>
      </c>
      <c r="D243" t="s">
        <v>35</v>
      </c>
      <c r="E243" t="s">
        <v>22</v>
      </c>
      <c r="F243" t="s">
        <v>31</v>
      </c>
      <c r="G243" t="s">
        <v>19</v>
      </c>
      <c r="H243">
        <v>19</v>
      </c>
      <c r="I243" t="s">
        <v>37</v>
      </c>
    </row>
    <row r="244" spans="1:9" x14ac:dyDescent="0.35">
      <c r="A244" t="s">
        <v>274</v>
      </c>
      <c r="B244" s="2">
        <v>46277</v>
      </c>
      <c r="C244" t="s">
        <v>34</v>
      </c>
      <c r="D244" t="s">
        <v>35</v>
      </c>
      <c r="E244" t="s">
        <v>12</v>
      </c>
      <c r="F244" t="s">
        <v>13</v>
      </c>
      <c r="G244" t="s">
        <v>19</v>
      </c>
      <c r="H244">
        <v>32</v>
      </c>
      <c r="I244" t="s">
        <v>20</v>
      </c>
    </row>
    <row r="245" spans="1:9" x14ac:dyDescent="0.35">
      <c r="A245" t="s">
        <v>275</v>
      </c>
      <c r="B245" s="2">
        <v>45946</v>
      </c>
      <c r="C245" t="s">
        <v>30</v>
      </c>
      <c r="D245" t="s">
        <v>11</v>
      </c>
      <c r="E245" t="s">
        <v>22</v>
      </c>
      <c r="F245" t="s">
        <v>18</v>
      </c>
      <c r="G245" t="s">
        <v>19</v>
      </c>
      <c r="H245">
        <v>35</v>
      </c>
      <c r="I245" t="s">
        <v>20</v>
      </c>
    </row>
    <row r="246" spans="1:9" x14ac:dyDescent="0.35">
      <c r="A246" t="s">
        <v>276</v>
      </c>
      <c r="B246" s="2">
        <v>46147</v>
      </c>
      <c r="C246" t="s">
        <v>46</v>
      </c>
      <c r="D246" t="s">
        <v>25</v>
      </c>
      <c r="E246" t="s">
        <v>22</v>
      </c>
      <c r="F246" t="s">
        <v>44</v>
      </c>
      <c r="G246" t="s">
        <v>19</v>
      </c>
      <c r="H246">
        <v>13</v>
      </c>
      <c r="I246" t="s">
        <v>37</v>
      </c>
    </row>
    <row r="247" spans="1:9" x14ac:dyDescent="0.35">
      <c r="A247" t="s">
        <v>277</v>
      </c>
      <c r="B247" s="2">
        <v>45989</v>
      </c>
      <c r="C247" t="s">
        <v>30</v>
      </c>
      <c r="D247" t="s">
        <v>35</v>
      </c>
      <c r="E247" t="s">
        <v>12</v>
      </c>
      <c r="F247" t="s">
        <v>13</v>
      </c>
      <c r="G247" t="s">
        <v>23</v>
      </c>
      <c r="H247">
        <v>43</v>
      </c>
      <c r="I247" t="s">
        <v>15</v>
      </c>
    </row>
    <row r="248" spans="1:9" x14ac:dyDescent="0.35">
      <c r="A248" t="s">
        <v>278</v>
      </c>
      <c r="B248" s="2">
        <v>46021</v>
      </c>
      <c r="C248" t="s">
        <v>17</v>
      </c>
      <c r="D248" t="s">
        <v>11</v>
      </c>
      <c r="E248" t="s">
        <v>22</v>
      </c>
      <c r="F248" t="s">
        <v>44</v>
      </c>
      <c r="G248" t="s">
        <v>14</v>
      </c>
      <c r="H248">
        <v>17</v>
      </c>
      <c r="I248" t="s">
        <v>15</v>
      </c>
    </row>
    <row r="249" spans="1:9" x14ac:dyDescent="0.35">
      <c r="A249" t="s">
        <v>279</v>
      </c>
      <c r="B249" s="2">
        <v>46289</v>
      </c>
      <c r="C249" t="s">
        <v>10</v>
      </c>
      <c r="D249" t="s">
        <v>11</v>
      </c>
      <c r="E249" t="s">
        <v>22</v>
      </c>
      <c r="F249" t="s">
        <v>31</v>
      </c>
      <c r="G249" t="s">
        <v>19</v>
      </c>
      <c r="H249">
        <v>42</v>
      </c>
      <c r="I249" t="s">
        <v>20</v>
      </c>
    </row>
    <row r="250" spans="1:9" x14ac:dyDescent="0.35">
      <c r="A250" t="s">
        <v>280</v>
      </c>
      <c r="B250" s="2">
        <v>45962</v>
      </c>
      <c r="C250" t="s">
        <v>34</v>
      </c>
      <c r="D250" t="s">
        <v>11</v>
      </c>
      <c r="E250" t="s">
        <v>12</v>
      </c>
      <c r="F250" t="s">
        <v>13</v>
      </c>
      <c r="G250" t="s">
        <v>19</v>
      </c>
      <c r="H250">
        <v>25</v>
      </c>
      <c r="I250" t="s">
        <v>37</v>
      </c>
    </row>
    <row r="251" spans="1:9" x14ac:dyDescent="0.35">
      <c r="A251" t="s">
        <v>281</v>
      </c>
      <c r="B251" s="2">
        <v>46114</v>
      </c>
      <c r="C251" t="s">
        <v>10</v>
      </c>
      <c r="D251" t="s">
        <v>11</v>
      </c>
      <c r="E251" t="s">
        <v>39</v>
      </c>
      <c r="F251" t="s">
        <v>26</v>
      </c>
      <c r="G251" t="s">
        <v>23</v>
      </c>
      <c r="H251">
        <v>38</v>
      </c>
      <c r="I251" t="s">
        <v>15</v>
      </c>
    </row>
    <row r="252" spans="1:9" x14ac:dyDescent="0.35">
      <c r="A252" t="s">
        <v>282</v>
      </c>
      <c r="B252" s="2">
        <v>46102</v>
      </c>
      <c r="C252" t="s">
        <v>34</v>
      </c>
      <c r="D252" t="s">
        <v>11</v>
      </c>
      <c r="E252" t="s">
        <v>12</v>
      </c>
      <c r="F252" t="s">
        <v>44</v>
      </c>
      <c r="G252" t="s">
        <v>23</v>
      </c>
      <c r="H252">
        <v>41</v>
      </c>
      <c r="I252" t="s">
        <v>15</v>
      </c>
    </row>
    <row r="253" spans="1:9" x14ac:dyDescent="0.35">
      <c r="A253" t="s">
        <v>283</v>
      </c>
      <c r="B253" s="2">
        <v>46041</v>
      </c>
      <c r="C253" t="s">
        <v>28</v>
      </c>
      <c r="D253" t="s">
        <v>11</v>
      </c>
      <c r="E253" t="s">
        <v>22</v>
      </c>
      <c r="F253" t="s">
        <v>31</v>
      </c>
      <c r="G253" t="s">
        <v>19</v>
      </c>
      <c r="H253">
        <v>39</v>
      </c>
      <c r="I253" t="s">
        <v>20</v>
      </c>
    </row>
    <row r="254" spans="1:9" x14ac:dyDescent="0.35">
      <c r="A254" t="s">
        <v>284</v>
      </c>
      <c r="B254" s="2">
        <v>46151</v>
      </c>
      <c r="C254" t="s">
        <v>17</v>
      </c>
      <c r="D254" t="s">
        <v>11</v>
      </c>
      <c r="E254" t="s">
        <v>22</v>
      </c>
      <c r="F254" t="s">
        <v>31</v>
      </c>
      <c r="G254" t="s">
        <v>19</v>
      </c>
      <c r="H254">
        <v>43</v>
      </c>
      <c r="I254" t="s">
        <v>20</v>
      </c>
    </row>
    <row r="255" spans="1:9" x14ac:dyDescent="0.35">
      <c r="A255" t="s">
        <v>285</v>
      </c>
      <c r="B255" s="2">
        <v>45937</v>
      </c>
      <c r="C255" t="s">
        <v>17</v>
      </c>
      <c r="D255" t="s">
        <v>11</v>
      </c>
      <c r="E255" t="s">
        <v>12</v>
      </c>
      <c r="F255" t="s">
        <v>18</v>
      </c>
      <c r="G255" t="s">
        <v>14</v>
      </c>
      <c r="H255">
        <v>14</v>
      </c>
      <c r="I255" t="s">
        <v>15</v>
      </c>
    </row>
    <row r="256" spans="1:9" x14ac:dyDescent="0.35">
      <c r="A256" t="s">
        <v>286</v>
      </c>
      <c r="B256" s="2">
        <v>46253</v>
      </c>
      <c r="C256" t="s">
        <v>10</v>
      </c>
      <c r="D256" t="s">
        <v>11</v>
      </c>
      <c r="E256" t="s">
        <v>12</v>
      </c>
      <c r="F256" t="s">
        <v>26</v>
      </c>
      <c r="G256" t="s">
        <v>14</v>
      </c>
      <c r="H256">
        <v>19</v>
      </c>
      <c r="I256" t="s">
        <v>15</v>
      </c>
    </row>
    <row r="257" spans="1:9" x14ac:dyDescent="0.35">
      <c r="A257" t="s">
        <v>287</v>
      </c>
      <c r="B257" s="2">
        <v>46125</v>
      </c>
      <c r="C257" t="s">
        <v>10</v>
      </c>
      <c r="D257" t="s">
        <v>11</v>
      </c>
      <c r="E257" t="s">
        <v>12</v>
      </c>
      <c r="F257" t="s">
        <v>13</v>
      </c>
      <c r="G257" t="s">
        <v>19</v>
      </c>
      <c r="H257">
        <v>31</v>
      </c>
      <c r="I257" t="s">
        <v>20</v>
      </c>
    </row>
    <row r="258" spans="1:9" x14ac:dyDescent="0.35">
      <c r="A258" t="s">
        <v>288</v>
      </c>
      <c r="B258" s="2">
        <v>46295</v>
      </c>
      <c r="C258" t="s">
        <v>17</v>
      </c>
      <c r="D258" t="s">
        <v>11</v>
      </c>
      <c r="E258" t="s">
        <v>39</v>
      </c>
      <c r="F258" t="s">
        <v>31</v>
      </c>
      <c r="G258" t="s">
        <v>23</v>
      </c>
      <c r="H258">
        <v>81</v>
      </c>
      <c r="I258" t="s">
        <v>15</v>
      </c>
    </row>
    <row r="259" spans="1:9" x14ac:dyDescent="0.35">
      <c r="A259" t="s">
        <v>289</v>
      </c>
      <c r="B259" s="2">
        <v>46089</v>
      </c>
      <c r="C259" t="s">
        <v>10</v>
      </c>
      <c r="D259" t="s">
        <v>11</v>
      </c>
      <c r="E259" t="s">
        <v>22</v>
      </c>
      <c r="F259" t="s">
        <v>44</v>
      </c>
      <c r="G259" t="s">
        <v>19</v>
      </c>
      <c r="H259">
        <v>23</v>
      </c>
      <c r="I259" t="s">
        <v>37</v>
      </c>
    </row>
    <row r="260" spans="1:9" x14ac:dyDescent="0.35">
      <c r="A260" t="s">
        <v>290</v>
      </c>
      <c r="B260" s="2">
        <v>45942</v>
      </c>
      <c r="C260" t="s">
        <v>34</v>
      </c>
      <c r="D260" t="s">
        <v>11</v>
      </c>
      <c r="E260" t="s">
        <v>22</v>
      </c>
      <c r="F260" t="s">
        <v>26</v>
      </c>
      <c r="G260" t="s">
        <v>19</v>
      </c>
      <c r="H260">
        <v>7</v>
      </c>
      <c r="I260" t="s">
        <v>37</v>
      </c>
    </row>
    <row r="261" spans="1:9" x14ac:dyDescent="0.35">
      <c r="A261" t="s">
        <v>291</v>
      </c>
      <c r="B261" s="2">
        <v>46082</v>
      </c>
      <c r="C261" t="s">
        <v>17</v>
      </c>
      <c r="D261" t="s">
        <v>25</v>
      </c>
      <c r="E261" t="s">
        <v>12</v>
      </c>
      <c r="F261" t="s">
        <v>44</v>
      </c>
      <c r="G261" t="s">
        <v>19</v>
      </c>
      <c r="H261">
        <v>44</v>
      </c>
      <c r="I261" t="s">
        <v>20</v>
      </c>
    </row>
    <row r="262" spans="1:9" x14ac:dyDescent="0.35">
      <c r="A262" t="s">
        <v>292</v>
      </c>
      <c r="B262" s="2">
        <v>46177</v>
      </c>
      <c r="C262" t="s">
        <v>34</v>
      </c>
      <c r="D262" t="s">
        <v>35</v>
      </c>
      <c r="E262" t="s">
        <v>12</v>
      </c>
      <c r="F262" t="s">
        <v>31</v>
      </c>
      <c r="G262" t="s">
        <v>19</v>
      </c>
      <c r="H262">
        <v>20</v>
      </c>
      <c r="I262" t="s">
        <v>37</v>
      </c>
    </row>
    <row r="263" spans="1:9" x14ac:dyDescent="0.35">
      <c r="A263" t="s">
        <v>293</v>
      </c>
      <c r="B263" s="2">
        <v>46150</v>
      </c>
      <c r="C263" t="s">
        <v>34</v>
      </c>
      <c r="D263" t="s">
        <v>11</v>
      </c>
      <c r="E263" t="s">
        <v>12</v>
      </c>
      <c r="F263" t="s">
        <v>26</v>
      </c>
      <c r="G263" t="s">
        <v>14</v>
      </c>
      <c r="H263">
        <v>13</v>
      </c>
      <c r="I263" t="s">
        <v>15</v>
      </c>
    </row>
    <row r="264" spans="1:9" x14ac:dyDescent="0.35">
      <c r="A264" t="s">
        <v>294</v>
      </c>
      <c r="B264" s="2">
        <v>46058</v>
      </c>
      <c r="C264" t="s">
        <v>10</v>
      </c>
      <c r="D264" t="s">
        <v>11</v>
      </c>
      <c r="E264" t="s">
        <v>12</v>
      </c>
      <c r="F264" t="s">
        <v>18</v>
      </c>
      <c r="G264" t="s">
        <v>19</v>
      </c>
      <c r="H264">
        <v>6</v>
      </c>
      <c r="I264" t="s">
        <v>37</v>
      </c>
    </row>
    <row r="265" spans="1:9" x14ac:dyDescent="0.35">
      <c r="A265" t="s">
        <v>295</v>
      </c>
      <c r="B265" s="2">
        <v>46081</v>
      </c>
      <c r="C265" t="s">
        <v>34</v>
      </c>
      <c r="D265" t="s">
        <v>11</v>
      </c>
      <c r="E265" t="s">
        <v>22</v>
      </c>
      <c r="F265" t="s">
        <v>13</v>
      </c>
      <c r="G265" t="s">
        <v>14</v>
      </c>
      <c r="H265">
        <v>12</v>
      </c>
      <c r="I265" t="s">
        <v>15</v>
      </c>
    </row>
    <row r="266" spans="1:9" x14ac:dyDescent="0.35">
      <c r="A266" t="s">
        <v>296</v>
      </c>
      <c r="B266" s="2">
        <v>46135</v>
      </c>
      <c r="C266" t="s">
        <v>28</v>
      </c>
      <c r="D266" t="s">
        <v>11</v>
      </c>
      <c r="E266" t="s">
        <v>22</v>
      </c>
      <c r="F266" t="s">
        <v>31</v>
      </c>
      <c r="G266" t="s">
        <v>19</v>
      </c>
      <c r="H266">
        <v>43</v>
      </c>
      <c r="I266" t="s">
        <v>20</v>
      </c>
    </row>
    <row r="267" spans="1:9" x14ac:dyDescent="0.35">
      <c r="A267" t="s">
        <v>297</v>
      </c>
      <c r="B267" s="2">
        <v>46176</v>
      </c>
      <c r="C267" t="s">
        <v>34</v>
      </c>
      <c r="D267" t="s">
        <v>11</v>
      </c>
      <c r="E267" t="s">
        <v>12</v>
      </c>
      <c r="F267" t="s">
        <v>31</v>
      </c>
      <c r="G267" t="s">
        <v>14</v>
      </c>
      <c r="H267">
        <v>12</v>
      </c>
      <c r="I267" t="s">
        <v>15</v>
      </c>
    </row>
    <row r="268" spans="1:9" x14ac:dyDescent="0.35">
      <c r="A268" t="s">
        <v>298</v>
      </c>
      <c r="B268" s="2">
        <v>46040</v>
      </c>
      <c r="C268" t="s">
        <v>46</v>
      </c>
      <c r="D268" t="s">
        <v>11</v>
      </c>
      <c r="E268" t="s">
        <v>39</v>
      </c>
      <c r="F268" t="s">
        <v>18</v>
      </c>
      <c r="G268" t="s">
        <v>14</v>
      </c>
      <c r="H268">
        <v>18</v>
      </c>
      <c r="I268" t="s">
        <v>15</v>
      </c>
    </row>
    <row r="269" spans="1:9" x14ac:dyDescent="0.35">
      <c r="A269" t="s">
        <v>299</v>
      </c>
      <c r="B269" s="2">
        <v>45946</v>
      </c>
      <c r="C269" t="s">
        <v>28</v>
      </c>
      <c r="D269" t="s">
        <v>11</v>
      </c>
      <c r="E269" t="s">
        <v>22</v>
      </c>
      <c r="F269" t="s">
        <v>18</v>
      </c>
      <c r="G269" t="s">
        <v>14</v>
      </c>
      <c r="H269">
        <v>6</v>
      </c>
      <c r="I269" t="s">
        <v>15</v>
      </c>
    </row>
    <row r="270" spans="1:9" x14ac:dyDescent="0.35">
      <c r="A270" t="s">
        <v>300</v>
      </c>
      <c r="B270" s="2">
        <v>46126</v>
      </c>
      <c r="C270" t="s">
        <v>30</v>
      </c>
      <c r="D270" t="s">
        <v>11</v>
      </c>
      <c r="E270" t="s">
        <v>39</v>
      </c>
      <c r="F270" t="s">
        <v>26</v>
      </c>
      <c r="G270" t="s">
        <v>19</v>
      </c>
      <c r="H270">
        <v>16</v>
      </c>
      <c r="I270" t="s">
        <v>37</v>
      </c>
    </row>
    <row r="271" spans="1:9" x14ac:dyDescent="0.35">
      <c r="A271" t="s">
        <v>301</v>
      </c>
      <c r="B271" s="2">
        <v>45944</v>
      </c>
      <c r="C271" t="s">
        <v>28</v>
      </c>
      <c r="D271" t="s">
        <v>11</v>
      </c>
      <c r="E271" t="s">
        <v>22</v>
      </c>
      <c r="F271" t="s">
        <v>18</v>
      </c>
      <c r="G271" t="s">
        <v>23</v>
      </c>
      <c r="H271">
        <v>77</v>
      </c>
      <c r="I271" t="s">
        <v>15</v>
      </c>
    </row>
    <row r="272" spans="1:9" x14ac:dyDescent="0.35">
      <c r="A272" t="s">
        <v>302</v>
      </c>
      <c r="B272" s="2">
        <v>46104</v>
      </c>
      <c r="C272" t="s">
        <v>34</v>
      </c>
      <c r="D272" t="s">
        <v>25</v>
      </c>
      <c r="E272" t="s">
        <v>12</v>
      </c>
      <c r="F272" t="s">
        <v>13</v>
      </c>
      <c r="G272" t="s">
        <v>19</v>
      </c>
      <c r="H272">
        <v>15</v>
      </c>
      <c r="I272" t="s">
        <v>37</v>
      </c>
    </row>
    <row r="273" spans="1:9" x14ac:dyDescent="0.35">
      <c r="A273" t="s">
        <v>303</v>
      </c>
      <c r="B273" s="2">
        <v>46286</v>
      </c>
      <c r="C273" t="s">
        <v>28</v>
      </c>
      <c r="D273" t="s">
        <v>11</v>
      </c>
      <c r="E273" t="s">
        <v>12</v>
      </c>
      <c r="F273" t="s">
        <v>13</v>
      </c>
      <c r="G273" t="s">
        <v>19</v>
      </c>
      <c r="H273">
        <v>29</v>
      </c>
      <c r="I273" t="s">
        <v>37</v>
      </c>
    </row>
    <row r="274" spans="1:9" x14ac:dyDescent="0.35">
      <c r="A274" t="s">
        <v>304</v>
      </c>
      <c r="B274" s="2">
        <v>46223</v>
      </c>
      <c r="C274" t="s">
        <v>34</v>
      </c>
      <c r="D274" t="s">
        <v>35</v>
      </c>
      <c r="E274" t="s">
        <v>12</v>
      </c>
      <c r="F274" t="s">
        <v>13</v>
      </c>
      <c r="G274" t="s">
        <v>19</v>
      </c>
      <c r="H274">
        <v>44</v>
      </c>
      <c r="I274" t="s">
        <v>20</v>
      </c>
    </row>
    <row r="275" spans="1:9" x14ac:dyDescent="0.35">
      <c r="A275" t="s">
        <v>305</v>
      </c>
      <c r="B275" s="2">
        <v>46041</v>
      </c>
      <c r="C275" t="s">
        <v>10</v>
      </c>
      <c r="D275" t="s">
        <v>35</v>
      </c>
      <c r="E275" t="s">
        <v>22</v>
      </c>
      <c r="F275" t="s">
        <v>18</v>
      </c>
      <c r="G275" t="s">
        <v>14</v>
      </c>
      <c r="H275">
        <v>26</v>
      </c>
      <c r="I275" t="s">
        <v>15</v>
      </c>
    </row>
    <row r="276" spans="1:9" x14ac:dyDescent="0.35">
      <c r="A276" t="s">
        <v>306</v>
      </c>
      <c r="B276" s="2">
        <v>46162</v>
      </c>
      <c r="C276" t="s">
        <v>34</v>
      </c>
      <c r="D276" t="s">
        <v>35</v>
      </c>
      <c r="E276" t="s">
        <v>22</v>
      </c>
      <c r="F276" t="s">
        <v>26</v>
      </c>
      <c r="G276" t="s">
        <v>19</v>
      </c>
      <c r="H276">
        <v>33</v>
      </c>
      <c r="I276" t="s">
        <v>20</v>
      </c>
    </row>
    <row r="277" spans="1:9" x14ac:dyDescent="0.35">
      <c r="A277" t="s">
        <v>307</v>
      </c>
      <c r="B277" s="2">
        <v>46104</v>
      </c>
      <c r="C277" t="s">
        <v>46</v>
      </c>
      <c r="D277" t="s">
        <v>11</v>
      </c>
      <c r="E277" t="s">
        <v>22</v>
      </c>
      <c r="F277" t="s">
        <v>18</v>
      </c>
      <c r="G277" t="s">
        <v>23</v>
      </c>
      <c r="H277">
        <v>37</v>
      </c>
      <c r="I277" t="s">
        <v>15</v>
      </c>
    </row>
    <row r="278" spans="1:9" x14ac:dyDescent="0.35">
      <c r="A278" t="s">
        <v>308</v>
      </c>
      <c r="B278" s="2">
        <v>46118</v>
      </c>
      <c r="C278" t="s">
        <v>10</v>
      </c>
      <c r="D278" t="s">
        <v>11</v>
      </c>
      <c r="E278" t="s">
        <v>12</v>
      </c>
      <c r="F278" t="s">
        <v>13</v>
      </c>
      <c r="G278" t="s">
        <v>19</v>
      </c>
      <c r="H278">
        <v>4</v>
      </c>
      <c r="I278" t="s">
        <v>37</v>
      </c>
    </row>
    <row r="279" spans="1:9" x14ac:dyDescent="0.35">
      <c r="A279" t="s">
        <v>309</v>
      </c>
      <c r="B279" s="2">
        <v>45941</v>
      </c>
      <c r="C279" t="s">
        <v>34</v>
      </c>
      <c r="D279" t="s">
        <v>35</v>
      </c>
      <c r="E279" t="s">
        <v>12</v>
      </c>
      <c r="F279" t="s">
        <v>31</v>
      </c>
      <c r="G279" t="s">
        <v>14</v>
      </c>
      <c r="H279">
        <v>10</v>
      </c>
      <c r="I279" t="s">
        <v>15</v>
      </c>
    </row>
    <row r="280" spans="1:9" x14ac:dyDescent="0.35">
      <c r="A280" t="s">
        <v>310</v>
      </c>
      <c r="B280" s="2">
        <v>46178</v>
      </c>
      <c r="C280" t="s">
        <v>10</v>
      </c>
      <c r="D280" t="s">
        <v>11</v>
      </c>
      <c r="E280" t="s">
        <v>39</v>
      </c>
      <c r="F280" t="s">
        <v>26</v>
      </c>
      <c r="G280" t="s">
        <v>19</v>
      </c>
      <c r="H280">
        <v>5</v>
      </c>
      <c r="I280" t="s">
        <v>37</v>
      </c>
    </row>
    <row r="281" spans="1:9" x14ac:dyDescent="0.35">
      <c r="A281" t="s">
        <v>311</v>
      </c>
      <c r="B281" s="2">
        <v>46221</v>
      </c>
      <c r="C281" t="s">
        <v>28</v>
      </c>
      <c r="D281" t="s">
        <v>11</v>
      </c>
      <c r="E281" t="s">
        <v>22</v>
      </c>
      <c r="F281" t="s">
        <v>26</v>
      </c>
      <c r="G281" t="s">
        <v>23</v>
      </c>
      <c r="H281">
        <v>41</v>
      </c>
      <c r="I281" t="s">
        <v>15</v>
      </c>
    </row>
    <row r="282" spans="1:9" x14ac:dyDescent="0.35">
      <c r="A282" t="s">
        <v>312</v>
      </c>
      <c r="B282" s="2">
        <v>45982</v>
      </c>
      <c r="C282" t="s">
        <v>34</v>
      </c>
      <c r="D282" t="s">
        <v>11</v>
      </c>
      <c r="E282" t="s">
        <v>22</v>
      </c>
      <c r="F282" t="s">
        <v>18</v>
      </c>
      <c r="G282" t="s">
        <v>19</v>
      </c>
      <c r="H282">
        <v>8</v>
      </c>
      <c r="I282" t="s">
        <v>37</v>
      </c>
    </row>
    <row r="283" spans="1:9" x14ac:dyDescent="0.35">
      <c r="A283" t="s">
        <v>313</v>
      </c>
      <c r="B283" s="2">
        <v>46061</v>
      </c>
      <c r="C283" t="s">
        <v>28</v>
      </c>
      <c r="D283" t="s">
        <v>11</v>
      </c>
      <c r="E283" t="s">
        <v>22</v>
      </c>
      <c r="F283" t="s">
        <v>44</v>
      </c>
      <c r="G283" t="s">
        <v>19</v>
      </c>
      <c r="H283">
        <v>36</v>
      </c>
      <c r="I283" t="s">
        <v>20</v>
      </c>
    </row>
    <row r="284" spans="1:9" x14ac:dyDescent="0.35">
      <c r="A284" t="s">
        <v>314</v>
      </c>
      <c r="B284" s="2">
        <v>46277</v>
      </c>
      <c r="C284" t="s">
        <v>34</v>
      </c>
      <c r="D284" t="s">
        <v>11</v>
      </c>
      <c r="E284" t="s">
        <v>22</v>
      </c>
      <c r="F284" t="s">
        <v>26</v>
      </c>
      <c r="G284" t="s">
        <v>19</v>
      </c>
      <c r="H284">
        <v>7</v>
      </c>
      <c r="I284" t="s">
        <v>37</v>
      </c>
    </row>
    <row r="285" spans="1:9" x14ac:dyDescent="0.35">
      <c r="A285" t="s">
        <v>315</v>
      </c>
      <c r="B285" s="2">
        <v>46015</v>
      </c>
      <c r="C285" t="s">
        <v>10</v>
      </c>
      <c r="D285" t="s">
        <v>25</v>
      </c>
      <c r="E285" t="s">
        <v>39</v>
      </c>
      <c r="F285" t="s">
        <v>13</v>
      </c>
      <c r="G285" t="s">
        <v>19</v>
      </c>
      <c r="H285">
        <v>30</v>
      </c>
      <c r="I285" t="s">
        <v>37</v>
      </c>
    </row>
    <row r="286" spans="1:9" x14ac:dyDescent="0.35">
      <c r="A286" t="s">
        <v>316</v>
      </c>
      <c r="B286" s="2">
        <v>46271</v>
      </c>
      <c r="C286" t="s">
        <v>46</v>
      </c>
      <c r="D286" t="s">
        <v>35</v>
      </c>
      <c r="E286" t="s">
        <v>22</v>
      </c>
      <c r="F286" t="s">
        <v>31</v>
      </c>
      <c r="G286" t="s">
        <v>14</v>
      </c>
      <c r="H286">
        <v>25</v>
      </c>
      <c r="I286" t="s">
        <v>15</v>
      </c>
    </row>
    <row r="287" spans="1:9" x14ac:dyDescent="0.35">
      <c r="A287" t="s">
        <v>317</v>
      </c>
      <c r="B287" s="2">
        <v>46231</v>
      </c>
      <c r="C287" t="s">
        <v>17</v>
      </c>
      <c r="D287" t="s">
        <v>11</v>
      </c>
      <c r="E287" t="s">
        <v>22</v>
      </c>
      <c r="F287" t="s">
        <v>44</v>
      </c>
      <c r="G287" t="s">
        <v>19</v>
      </c>
      <c r="H287">
        <v>15</v>
      </c>
      <c r="I287" t="s">
        <v>37</v>
      </c>
    </row>
    <row r="288" spans="1:9" x14ac:dyDescent="0.35">
      <c r="A288" t="s">
        <v>318</v>
      </c>
      <c r="B288" s="2">
        <v>46137</v>
      </c>
      <c r="C288" t="s">
        <v>46</v>
      </c>
      <c r="D288" t="s">
        <v>11</v>
      </c>
      <c r="E288" t="s">
        <v>12</v>
      </c>
      <c r="F288" t="s">
        <v>13</v>
      </c>
      <c r="G288" t="s">
        <v>19</v>
      </c>
      <c r="H288">
        <v>18</v>
      </c>
      <c r="I288" t="s">
        <v>37</v>
      </c>
    </row>
    <row r="289" spans="1:9" x14ac:dyDescent="0.35">
      <c r="A289" t="s">
        <v>319</v>
      </c>
      <c r="B289" s="2">
        <v>46005</v>
      </c>
      <c r="C289" t="s">
        <v>10</v>
      </c>
      <c r="D289" t="s">
        <v>11</v>
      </c>
      <c r="E289" t="s">
        <v>12</v>
      </c>
      <c r="F289" t="s">
        <v>26</v>
      </c>
      <c r="G289" t="s">
        <v>14</v>
      </c>
      <c r="H289">
        <v>13</v>
      </c>
      <c r="I289" t="s">
        <v>15</v>
      </c>
    </row>
    <row r="290" spans="1:9" x14ac:dyDescent="0.35">
      <c r="A290" t="s">
        <v>320</v>
      </c>
      <c r="B290" s="2">
        <v>46164</v>
      </c>
      <c r="C290" t="s">
        <v>10</v>
      </c>
      <c r="D290" t="s">
        <v>11</v>
      </c>
      <c r="E290" t="s">
        <v>12</v>
      </c>
      <c r="F290" t="s">
        <v>31</v>
      </c>
      <c r="G290" t="s">
        <v>19</v>
      </c>
      <c r="H290">
        <v>30</v>
      </c>
      <c r="I290" t="s">
        <v>37</v>
      </c>
    </row>
    <row r="291" spans="1:9" x14ac:dyDescent="0.35">
      <c r="A291" t="s">
        <v>321</v>
      </c>
      <c r="B291" s="2">
        <v>45995</v>
      </c>
      <c r="C291" t="s">
        <v>28</v>
      </c>
      <c r="D291" t="s">
        <v>11</v>
      </c>
      <c r="E291" t="s">
        <v>22</v>
      </c>
      <c r="F291" t="s">
        <v>31</v>
      </c>
      <c r="G291" t="s">
        <v>19</v>
      </c>
      <c r="H291">
        <v>32</v>
      </c>
      <c r="I291" t="s">
        <v>20</v>
      </c>
    </row>
    <row r="292" spans="1:9" x14ac:dyDescent="0.35">
      <c r="A292" t="s">
        <v>322</v>
      </c>
      <c r="B292" s="2">
        <v>46013</v>
      </c>
      <c r="C292" t="s">
        <v>46</v>
      </c>
      <c r="D292" t="s">
        <v>25</v>
      </c>
      <c r="E292" t="s">
        <v>22</v>
      </c>
      <c r="F292" t="s">
        <v>13</v>
      </c>
      <c r="G292" t="s">
        <v>23</v>
      </c>
      <c r="H292">
        <v>64</v>
      </c>
      <c r="I292" t="s">
        <v>15</v>
      </c>
    </row>
    <row r="293" spans="1:9" x14ac:dyDescent="0.35">
      <c r="A293" t="s">
        <v>323</v>
      </c>
      <c r="B293" s="2">
        <v>45940</v>
      </c>
      <c r="C293" t="s">
        <v>10</v>
      </c>
      <c r="D293" t="s">
        <v>11</v>
      </c>
      <c r="E293" t="s">
        <v>39</v>
      </c>
      <c r="F293" t="s">
        <v>13</v>
      </c>
      <c r="G293" t="s">
        <v>19</v>
      </c>
      <c r="H293">
        <v>31</v>
      </c>
      <c r="I293" t="s">
        <v>20</v>
      </c>
    </row>
    <row r="294" spans="1:9" x14ac:dyDescent="0.35">
      <c r="A294" t="s">
        <v>324</v>
      </c>
      <c r="B294" s="2">
        <v>45978</v>
      </c>
      <c r="C294" t="s">
        <v>17</v>
      </c>
      <c r="D294" t="s">
        <v>11</v>
      </c>
      <c r="E294" t="s">
        <v>12</v>
      </c>
      <c r="F294" t="s">
        <v>26</v>
      </c>
      <c r="G294" t="s">
        <v>23</v>
      </c>
      <c r="H294">
        <v>36</v>
      </c>
      <c r="I294" t="s">
        <v>15</v>
      </c>
    </row>
    <row r="295" spans="1:9" x14ac:dyDescent="0.35">
      <c r="A295" t="s">
        <v>325</v>
      </c>
      <c r="B295" s="2">
        <v>46265</v>
      </c>
      <c r="C295" t="s">
        <v>28</v>
      </c>
      <c r="D295" t="s">
        <v>11</v>
      </c>
      <c r="E295" t="s">
        <v>12</v>
      </c>
      <c r="F295" t="s">
        <v>44</v>
      </c>
      <c r="G295" t="s">
        <v>14</v>
      </c>
      <c r="H295">
        <v>22</v>
      </c>
      <c r="I295" t="s">
        <v>15</v>
      </c>
    </row>
    <row r="296" spans="1:9" x14ac:dyDescent="0.35">
      <c r="A296" t="s">
        <v>326</v>
      </c>
      <c r="B296" s="2">
        <v>46294</v>
      </c>
      <c r="C296" t="s">
        <v>34</v>
      </c>
      <c r="D296" t="s">
        <v>11</v>
      </c>
      <c r="E296" t="s">
        <v>22</v>
      </c>
      <c r="F296" t="s">
        <v>26</v>
      </c>
      <c r="G296" t="s">
        <v>23</v>
      </c>
      <c r="H296">
        <v>31</v>
      </c>
      <c r="I296" t="s">
        <v>15</v>
      </c>
    </row>
    <row r="297" spans="1:9" x14ac:dyDescent="0.35">
      <c r="A297" t="s">
        <v>327</v>
      </c>
      <c r="B297" s="2">
        <v>45998</v>
      </c>
      <c r="C297" t="s">
        <v>28</v>
      </c>
      <c r="D297" t="s">
        <v>35</v>
      </c>
      <c r="E297" t="s">
        <v>22</v>
      </c>
      <c r="F297" t="s">
        <v>18</v>
      </c>
      <c r="G297" t="s">
        <v>19</v>
      </c>
      <c r="H297">
        <v>37</v>
      </c>
      <c r="I297" t="s">
        <v>20</v>
      </c>
    </row>
    <row r="298" spans="1:9" x14ac:dyDescent="0.35">
      <c r="A298" t="s">
        <v>328</v>
      </c>
      <c r="B298" s="2">
        <v>45964</v>
      </c>
      <c r="C298" t="s">
        <v>30</v>
      </c>
      <c r="D298" t="s">
        <v>11</v>
      </c>
      <c r="E298" t="s">
        <v>12</v>
      </c>
      <c r="F298" t="s">
        <v>26</v>
      </c>
      <c r="G298" t="s">
        <v>14</v>
      </c>
      <c r="H298">
        <v>23</v>
      </c>
      <c r="I298" t="s">
        <v>15</v>
      </c>
    </row>
    <row r="299" spans="1:9" x14ac:dyDescent="0.35">
      <c r="A299" t="s">
        <v>329</v>
      </c>
      <c r="B299" s="2">
        <v>45948</v>
      </c>
      <c r="C299" t="s">
        <v>28</v>
      </c>
      <c r="D299" t="s">
        <v>11</v>
      </c>
      <c r="E299" t="s">
        <v>22</v>
      </c>
      <c r="F299" t="s">
        <v>31</v>
      </c>
      <c r="G299" t="s">
        <v>19</v>
      </c>
      <c r="H299">
        <v>34</v>
      </c>
      <c r="I299" t="s">
        <v>20</v>
      </c>
    </row>
    <row r="300" spans="1:9" x14ac:dyDescent="0.35">
      <c r="A300" t="s">
        <v>330</v>
      </c>
      <c r="B300" s="2">
        <v>45993</v>
      </c>
      <c r="C300" t="s">
        <v>28</v>
      </c>
      <c r="D300" t="s">
        <v>11</v>
      </c>
      <c r="E300" t="s">
        <v>22</v>
      </c>
      <c r="F300" t="s">
        <v>44</v>
      </c>
      <c r="G300" t="s">
        <v>19</v>
      </c>
      <c r="H300">
        <v>12</v>
      </c>
      <c r="I300" t="s">
        <v>37</v>
      </c>
    </row>
    <row r="301" spans="1:9" x14ac:dyDescent="0.35">
      <c r="A301" t="s">
        <v>331</v>
      </c>
      <c r="B301" s="2">
        <v>45974</v>
      </c>
      <c r="C301" t="s">
        <v>10</v>
      </c>
      <c r="D301" t="s">
        <v>11</v>
      </c>
      <c r="E301" t="s">
        <v>22</v>
      </c>
      <c r="F301" t="s">
        <v>44</v>
      </c>
      <c r="G301" t="s">
        <v>19</v>
      </c>
      <c r="H301">
        <v>34</v>
      </c>
      <c r="I301" t="s">
        <v>20</v>
      </c>
    </row>
    <row r="302" spans="1:9" x14ac:dyDescent="0.35">
      <c r="A302" t="s">
        <v>332</v>
      </c>
      <c r="B302" s="2">
        <v>46111</v>
      </c>
      <c r="C302" t="s">
        <v>17</v>
      </c>
      <c r="D302" t="s">
        <v>11</v>
      </c>
      <c r="E302" t="s">
        <v>39</v>
      </c>
      <c r="F302" t="s">
        <v>18</v>
      </c>
      <c r="G302" t="s">
        <v>14</v>
      </c>
      <c r="H302">
        <v>18</v>
      </c>
      <c r="I302" t="s">
        <v>15</v>
      </c>
    </row>
    <row r="303" spans="1:9" x14ac:dyDescent="0.35">
      <c r="A303" t="s">
        <v>333</v>
      </c>
      <c r="B303" s="2">
        <v>46117</v>
      </c>
      <c r="C303" t="s">
        <v>46</v>
      </c>
      <c r="D303" t="s">
        <v>25</v>
      </c>
      <c r="E303" t="s">
        <v>22</v>
      </c>
      <c r="F303" t="s">
        <v>31</v>
      </c>
      <c r="G303" t="s">
        <v>14</v>
      </c>
      <c r="H303">
        <v>25</v>
      </c>
      <c r="I303" t="s">
        <v>15</v>
      </c>
    </row>
    <row r="304" spans="1:9" x14ac:dyDescent="0.35">
      <c r="A304" t="s">
        <v>334</v>
      </c>
      <c r="B304" s="2">
        <v>46250</v>
      </c>
      <c r="C304" t="s">
        <v>34</v>
      </c>
      <c r="D304" t="s">
        <v>11</v>
      </c>
      <c r="E304" t="s">
        <v>22</v>
      </c>
      <c r="F304" t="s">
        <v>44</v>
      </c>
      <c r="G304" t="s">
        <v>19</v>
      </c>
      <c r="H304">
        <v>44</v>
      </c>
      <c r="I304" t="s">
        <v>20</v>
      </c>
    </row>
    <row r="305" spans="1:9" x14ac:dyDescent="0.35">
      <c r="A305" t="s">
        <v>335</v>
      </c>
      <c r="B305" s="2">
        <v>46081</v>
      </c>
      <c r="C305" t="s">
        <v>17</v>
      </c>
      <c r="D305" t="s">
        <v>35</v>
      </c>
      <c r="E305" t="s">
        <v>12</v>
      </c>
      <c r="F305" t="s">
        <v>13</v>
      </c>
      <c r="G305" t="s">
        <v>19</v>
      </c>
      <c r="H305">
        <v>20</v>
      </c>
      <c r="I305" t="s">
        <v>37</v>
      </c>
    </row>
    <row r="306" spans="1:9" x14ac:dyDescent="0.35">
      <c r="A306" t="s">
        <v>336</v>
      </c>
      <c r="B306" s="2">
        <v>46032</v>
      </c>
      <c r="C306" t="s">
        <v>17</v>
      </c>
      <c r="D306" t="s">
        <v>11</v>
      </c>
      <c r="E306" t="s">
        <v>12</v>
      </c>
      <c r="F306" t="s">
        <v>18</v>
      </c>
      <c r="G306" t="s">
        <v>19</v>
      </c>
      <c r="H306">
        <v>43</v>
      </c>
      <c r="I306" t="s">
        <v>20</v>
      </c>
    </row>
    <row r="307" spans="1:9" x14ac:dyDescent="0.35">
      <c r="A307" t="s">
        <v>337</v>
      </c>
      <c r="B307" s="2">
        <v>45960</v>
      </c>
      <c r="C307" t="s">
        <v>46</v>
      </c>
      <c r="D307" t="s">
        <v>11</v>
      </c>
      <c r="E307" t="s">
        <v>22</v>
      </c>
      <c r="F307" t="s">
        <v>44</v>
      </c>
      <c r="G307" t="s">
        <v>19</v>
      </c>
      <c r="H307">
        <v>16</v>
      </c>
      <c r="I307" t="s">
        <v>37</v>
      </c>
    </row>
    <row r="308" spans="1:9" x14ac:dyDescent="0.35">
      <c r="A308" t="s">
        <v>338</v>
      </c>
      <c r="B308" s="2">
        <v>46136</v>
      </c>
      <c r="C308" t="s">
        <v>17</v>
      </c>
      <c r="D308" t="s">
        <v>25</v>
      </c>
      <c r="E308" t="s">
        <v>12</v>
      </c>
      <c r="F308" t="s">
        <v>44</v>
      </c>
      <c r="G308" t="s">
        <v>19</v>
      </c>
      <c r="H308">
        <v>45</v>
      </c>
      <c r="I308" t="s">
        <v>20</v>
      </c>
    </row>
    <row r="309" spans="1:9" x14ac:dyDescent="0.35">
      <c r="A309" t="s">
        <v>339</v>
      </c>
      <c r="B309" s="2">
        <v>46218</v>
      </c>
      <c r="C309" t="s">
        <v>46</v>
      </c>
      <c r="D309" t="s">
        <v>11</v>
      </c>
      <c r="E309" t="s">
        <v>39</v>
      </c>
      <c r="F309" t="s">
        <v>18</v>
      </c>
      <c r="G309" t="s">
        <v>23</v>
      </c>
      <c r="H309">
        <v>57</v>
      </c>
      <c r="I309" t="s">
        <v>15</v>
      </c>
    </row>
    <row r="310" spans="1:9" x14ac:dyDescent="0.35">
      <c r="A310" t="s">
        <v>340</v>
      </c>
      <c r="B310" s="2">
        <v>45982</v>
      </c>
      <c r="C310" t="s">
        <v>46</v>
      </c>
      <c r="D310" t="s">
        <v>11</v>
      </c>
      <c r="E310" t="s">
        <v>12</v>
      </c>
      <c r="F310" t="s">
        <v>13</v>
      </c>
      <c r="G310" t="s">
        <v>19</v>
      </c>
      <c r="H310">
        <v>24</v>
      </c>
      <c r="I310" t="s">
        <v>37</v>
      </c>
    </row>
    <row r="311" spans="1:9" x14ac:dyDescent="0.35">
      <c r="A311" t="s">
        <v>341</v>
      </c>
      <c r="B311" s="2">
        <v>46192</v>
      </c>
      <c r="C311" t="s">
        <v>30</v>
      </c>
      <c r="D311" t="s">
        <v>11</v>
      </c>
      <c r="E311" t="s">
        <v>22</v>
      </c>
      <c r="F311" t="s">
        <v>26</v>
      </c>
      <c r="G311" t="s">
        <v>23</v>
      </c>
      <c r="H311">
        <v>38</v>
      </c>
      <c r="I311" t="s">
        <v>15</v>
      </c>
    </row>
    <row r="312" spans="1:9" x14ac:dyDescent="0.35">
      <c r="A312" t="s">
        <v>342</v>
      </c>
      <c r="B312" s="2">
        <v>46140</v>
      </c>
      <c r="C312" t="s">
        <v>10</v>
      </c>
      <c r="D312" t="s">
        <v>35</v>
      </c>
      <c r="E312" t="s">
        <v>39</v>
      </c>
      <c r="F312" t="s">
        <v>18</v>
      </c>
      <c r="G312" t="s">
        <v>19</v>
      </c>
      <c r="H312">
        <v>4</v>
      </c>
      <c r="I312" t="s">
        <v>37</v>
      </c>
    </row>
    <row r="313" spans="1:9" x14ac:dyDescent="0.35">
      <c r="A313" t="s">
        <v>343</v>
      </c>
      <c r="B313" s="2">
        <v>46013</v>
      </c>
      <c r="C313" t="s">
        <v>34</v>
      </c>
      <c r="D313" t="s">
        <v>11</v>
      </c>
      <c r="E313" t="s">
        <v>12</v>
      </c>
      <c r="F313" t="s">
        <v>44</v>
      </c>
      <c r="G313" t="s">
        <v>19</v>
      </c>
      <c r="H313">
        <v>40</v>
      </c>
      <c r="I313" t="s">
        <v>20</v>
      </c>
    </row>
    <row r="314" spans="1:9" x14ac:dyDescent="0.35">
      <c r="A314" t="s">
        <v>344</v>
      </c>
      <c r="B314" s="2">
        <v>46126</v>
      </c>
      <c r="C314" t="s">
        <v>30</v>
      </c>
      <c r="D314" t="s">
        <v>11</v>
      </c>
      <c r="E314" t="s">
        <v>12</v>
      </c>
      <c r="F314" t="s">
        <v>44</v>
      </c>
      <c r="G314" t="s">
        <v>19</v>
      </c>
      <c r="H314">
        <v>42</v>
      </c>
      <c r="I314" t="s">
        <v>20</v>
      </c>
    </row>
    <row r="315" spans="1:9" x14ac:dyDescent="0.35">
      <c r="A315" t="s">
        <v>345</v>
      </c>
      <c r="B315" s="2">
        <v>46203</v>
      </c>
      <c r="C315" t="s">
        <v>46</v>
      </c>
      <c r="D315" t="s">
        <v>11</v>
      </c>
      <c r="E315" t="s">
        <v>12</v>
      </c>
      <c r="F315" t="s">
        <v>18</v>
      </c>
      <c r="G315" t="s">
        <v>19</v>
      </c>
      <c r="H315">
        <v>16</v>
      </c>
      <c r="I315" t="s">
        <v>37</v>
      </c>
    </row>
    <row r="316" spans="1:9" x14ac:dyDescent="0.35">
      <c r="A316" t="s">
        <v>346</v>
      </c>
      <c r="B316" s="2">
        <v>46101</v>
      </c>
      <c r="C316" t="s">
        <v>28</v>
      </c>
      <c r="D316" t="s">
        <v>11</v>
      </c>
      <c r="E316" t="s">
        <v>12</v>
      </c>
      <c r="F316" t="s">
        <v>31</v>
      </c>
      <c r="G316" t="s">
        <v>23</v>
      </c>
      <c r="H316">
        <v>82</v>
      </c>
      <c r="I316" t="s">
        <v>15</v>
      </c>
    </row>
    <row r="317" spans="1:9" x14ac:dyDescent="0.35">
      <c r="A317" t="s">
        <v>347</v>
      </c>
      <c r="B317" s="2">
        <v>45953</v>
      </c>
      <c r="C317" t="s">
        <v>17</v>
      </c>
      <c r="D317" t="s">
        <v>11</v>
      </c>
      <c r="E317" t="s">
        <v>22</v>
      </c>
      <c r="F317" t="s">
        <v>26</v>
      </c>
      <c r="G317" t="s">
        <v>19</v>
      </c>
      <c r="H317">
        <v>41</v>
      </c>
      <c r="I317" t="s">
        <v>20</v>
      </c>
    </row>
    <row r="318" spans="1:9" x14ac:dyDescent="0.35">
      <c r="A318" t="s">
        <v>348</v>
      </c>
      <c r="B318" s="2">
        <v>46197</v>
      </c>
      <c r="C318" t="s">
        <v>46</v>
      </c>
      <c r="D318" t="s">
        <v>35</v>
      </c>
      <c r="E318" t="s">
        <v>22</v>
      </c>
      <c r="F318" t="s">
        <v>18</v>
      </c>
      <c r="G318" t="s">
        <v>14</v>
      </c>
      <c r="H318">
        <v>21</v>
      </c>
      <c r="I318" t="s">
        <v>15</v>
      </c>
    </row>
    <row r="319" spans="1:9" x14ac:dyDescent="0.35">
      <c r="A319" t="s">
        <v>349</v>
      </c>
      <c r="B319" s="2">
        <v>46221</v>
      </c>
      <c r="C319" t="s">
        <v>28</v>
      </c>
      <c r="D319" t="s">
        <v>25</v>
      </c>
      <c r="E319" t="s">
        <v>39</v>
      </c>
      <c r="F319" t="s">
        <v>26</v>
      </c>
      <c r="G319" t="s">
        <v>19</v>
      </c>
      <c r="H319">
        <v>43</v>
      </c>
      <c r="I319" t="s">
        <v>20</v>
      </c>
    </row>
    <row r="320" spans="1:9" x14ac:dyDescent="0.35">
      <c r="A320" t="s">
        <v>350</v>
      </c>
      <c r="B320" s="2">
        <v>46119</v>
      </c>
      <c r="C320" t="s">
        <v>34</v>
      </c>
      <c r="D320" t="s">
        <v>11</v>
      </c>
      <c r="E320" t="s">
        <v>12</v>
      </c>
      <c r="F320" t="s">
        <v>44</v>
      </c>
      <c r="G320" t="s">
        <v>19</v>
      </c>
      <c r="H320">
        <v>37</v>
      </c>
      <c r="I320" t="s">
        <v>20</v>
      </c>
    </row>
    <row r="321" spans="1:9" x14ac:dyDescent="0.35">
      <c r="A321" t="s">
        <v>351</v>
      </c>
      <c r="B321" s="2">
        <v>45985</v>
      </c>
      <c r="C321" t="s">
        <v>46</v>
      </c>
      <c r="D321" t="s">
        <v>11</v>
      </c>
      <c r="E321" t="s">
        <v>22</v>
      </c>
      <c r="F321" t="s">
        <v>31</v>
      </c>
      <c r="G321" t="s">
        <v>19</v>
      </c>
      <c r="H321">
        <v>31</v>
      </c>
      <c r="I32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C20D-9378-4569-AD56-C5E0A23E34F8}">
  <dimension ref="A1:F181"/>
  <sheetViews>
    <sheetView workbookViewId="0"/>
  </sheetViews>
  <sheetFormatPr defaultRowHeight="14.5" x14ac:dyDescent="0.35"/>
  <cols>
    <col min="1" max="1" width="8.90625" bestFit="1" customWidth="1"/>
    <col min="2" max="2" width="13.1796875" bestFit="1" customWidth="1"/>
    <col min="3" max="3" width="11.7265625" bestFit="1" customWidth="1"/>
    <col min="4" max="4" width="11.54296875" bestFit="1" customWidth="1"/>
    <col min="5" max="5" width="8" bestFit="1" customWidth="1"/>
    <col min="6" max="6" width="17.90625" bestFit="1" customWidth="1"/>
  </cols>
  <sheetData>
    <row r="1" spans="1:6" x14ac:dyDescent="0.35">
      <c r="A1" s="1" t="s">
        <v>352</v>
      </c>
      <c r="B1" s="1" t="s">
        <v>353</v>
      </c>
      <c r="C1" s="1" t="s">
        <v>354</v>
      </c>
      <c r="D1" s="1" t="s">
        <v>355</v>
      </c>
      <c r="E1" s="1" t="s">
        <v>6</v>
      </c>
      <c r="F1" s="1" t="s">
        <v>356</v>
      </c>
    </row>
    <row r="2" spans="1:6" x14ac:dyDescent="0.35">
      <c r="A2" t="s">
        <v>357</v>
      </c>
      <c r="B2" t="s">
        <v>202</v>
      </c>
      <c r="C2" s="2">
        <v>46065</v>
      </c>
      <c r="D2" t="s">
        <v>30</v>
      </c>
      <c r="E2" t="s">
        <v>19</v>
      </c>
      <c r="F2" t="s">
        <v>358</v>
      </c>
    </row>
    <row r="3" spans="1:6" x14ac:dyDescent="0.35">
      <c r="A3" t="s">
        <v>359</v>
      </c>
      <c r="B3" t="s">
        <v>291</v>
      </c>
      <c r="C3" s="2">
        <v>46073</v>
      </c>
      <c r="D3" t="s">
        <v>34</v>
      </c>
      <c r="E3" t="s">
        <v>14</v>
      </c>
      <c r="F3" t="s">
        <v>360</v>
      </c>
    </row>
    <row r="4" spans="1:6" x14ac:dyDescent="0.35">
      <c r="A4" t="s">
        <v>361</v>
      </c>
      <c r="B4" t="s">
        <v>133</v>
      </c>
      <c r="C4" s="2">
        <v>46134</v>
      </c>
      <c r="D4" t="s">
        <v>46</v>
      </c>
      <c r="E4" t="s">
        <v>19</v>
      </c>
      <c r="F4" t="s">
        <v>362</v>
      </c>
    </row>
    <row r="5" spans="1:6" x14ac:dyDescent="0.35">
      <c r="A5" t="s">
        <v>363</v>
      </c>
      <c r="B5" t="s">
        <v>108</v>
      </c>
      <c r="C5" s="2">
        <v>45966</v>
      </c>
      <c r="D5" t="s">
        <v>17</v>
      </c>
      <c r="E5" t="s">
        <v>23</v>
      </c>
      <c r="F5" t="s">
        <v>360</v>
      </c>
    </row>
    <row r="6" spans="1:6" x14ac:dyDescent="0.35">
      <c r="A6" t="s">
        <v>364</v>
      </c>
      <c r="B6" t="s">
        <v>265</v>
      </c>
      <c r="C6" s="2">
        <v>46031</v>
      </c>
      <c r="D6" t="s">
        <v>30</v>
      </c>
      <c r="E6" t="s">
        <v>14</v>
      </c>
      <c r="F6" t="s">
        <v>360</v>
      </c>
    </row>
    <row r="7" spans="1:6" x14ac:dyDescent="0.35">
      <c r="A7" t="s">
        <v>365</v>
      </c>
      <c r="B7" t="s">
        <v>254</v>
      </c>
      <c r="C7" s="2">
        <v>46011</v>
      </c>
      <c r="D7" t="s">
        <v>17</v>
      </c>
      <c r="E7" t="s">
        <v>14</v>
      </c>
      <c r="F7" t="s">
        <v>360</v>
      </c>
    </row>
    <row r="8" spans="1:6" x14ac:dyDescent="0.35">
      <c r="A8" t="s">
        <v>366</v>
      </c>
      <c r="B8" t="s">
        <v>281</v>
      </c>
      <c r="C8" s="2">
        <v>46192</v>
      </c>
      <c r="D8" t="s">
        <v>10</v>
      </c>
      <c r="E8" t="s">
        <v>19</v>
      </c>
      <c r="F8" t="s">
        <v>358</v>
      </c>
    </row>
    <row r="9" spans="1:6" x14ac:dyDescent="0.35">
      <c r="A9" t="s">
        <v>367</v>
      </c>
      <c r="B9" t="s">
        <v>117</v>
      </c>
      <c r="C9" s="2">
        <v>46069</v>
      </c>
      <c r="D9" t="s">
        <v>34</v>
      </c>
      <c r="E9" t="s">
        <v>14</v>
      </c>
      <c r="F9" t="s">
        <v>360</v>
      </c>
    </row>
    <row r="10" spans="1:6" x14ac:dyDescent="0.35">
      <c r="A10" t="s">
        <v>368</v>
      </c>
      <c r="B10" t="s">
        <v>89</v>
      </c>
      <c r="C10" s="2">
        <v>45989</v>
      </c>
      <c r="D10" t="s">
        <v>17</v>
      </c>
      <c r="E10" t="s">
        <v>19</v>
      </c>
      <c r="F10" t="s">
        <v>362</v>
      </c>
    </row>
    <row r="11" spans="1:6" x14ac:dyDescent="0.35">
      <c r="A11" t="s">
        <v>369</v>
      </c>
      <c r="B11" t="s">
        <v>171</v>
      </c>
      <c r="C11" s="2">
        <v>46214</v>
      </c>
      <c r="D11" t="s">
        <v>17</v>
      </c>
      <c r="E11" t="s">
        <v>19</v>
      </c>
      <c r="F11" t="s">
        <v>362</v>
      </c>
    </row>
    <row r="12" spans="1:6" x14ac:dyDescent="0.35">
      <c r="A12" t="s">
        <v>370</v>
      </c>
      <c r="B12" t="s">
        <v>163</v>
      </c>
      <c r="C12" s="2">
        <v>46059</v>
      </c>
      <c r="D12" t="s">
        <v>10</v>
      </c>
      <c r="E12" t="s">
        <v>23</v>
      </c>
      <c r="F12" t="s">
        <v>360</v>
      </c>
    </row>
    <row r="13" spans="1:6" x14ac:dyDescent="0.35">
      <c r="A13" t="s">
        <v>371</v>
      </c>
      <c r="B13" t="s">
        <v>185</v>
      </c>
      <c r="C13" s="2">
        <v>46228</v>
      </c>
      <c r="D13" t="s">
        <v>28</v>
      </c>
      <c r="E13" t="s">
        <v>19</v>
      </c>
      <c r="F13" t="s">
        <v>358</v>
      </c>
    </row>
    <row r="14" spans="1:6" x14ac:dyDescent="0.35">
      <c r="A14" t="s">
        <v>372</v>
      </c>
      <c r="B14" t="s">
        <v>259</v>
      </c>
      <c r="C14" s="2">
        <v>46282</v>
      </c>
      <c r="D14" t="s">
        <v>10</v>
      </c>
      <c r="E14" t="s">
        <v>19</v>
      </c>
      <c r="F14" t="s">
        <v>360</v>
      </c>
    </row>
    <row r="15" spans="1:6" x14ac:dyDescent="0.35">
      <c r="A15" t="s">
        <v>373</v>
      </c>
      <c r="B15" t="s">
        <v>161</v>
      </c>
      <c r="C15" s="2">
        <v>46273</v>
      </c>
      <c r="D15" t="s">
        <v>28</v>
      </c>
      <c r="E15" t="s">
        <v>19</v>
      </c>
      <c r="F15" t="s">
        <v>358</v>
      </c>
    </row>
    <row r="16" spans="1:6" x14ac:dyDescent="0.35">
      <c r="A16" t="s">
        <v>374</v>
      </c>
      <c r="B16" t="s">
        <v>135</v>
      </c>
      <c r="C16" s="2">
        <v>46311</v>
      </c>
      <c r="D16" t="s">
        <v>46</v>
      </c>
      <c r="E16" t="s">
        <v>23</v>
      </c>
      <c r="F16" t="s">
        <v>360</v>
      </c>
    </row>
    <row r="17" spans="1:6" x14ac:dyDescent="0.35">
      <c r="A17" t="s">
        <v>375</v>
      </c>
      <c r="B17" t="s">
        <v>145</v>
      </c>
      <c r="C17" s="2">
        <v>46148</v>
      </c>
      <c r="D17" t="s">
        <v>28</v>
      </c>
      <c r="E17" t="s">
        <v>14</v>
      </c>
      <c r="F17" t="s">
        <v>360</v>
      </c>
    </row>
    <row r="18" spans="1:6" x14ac:dyDescent="0.35">
      <c r="A18" t="s">
        <v>376</v>
      </c>
      <c r="B18" t="s">
        <v>99</v>
      </c>
      <c r="C18" s="2">
        <v>46113</v>
      </c>
      <c r="D18" t="s">
        <v>28</v>
      </c>
      <c r="E18" t="s">
        <v>14</v>
      </c>
      <c r="F18" t="s">
        <v>360</v>
      </c>
    </row>
    <row r="19" spans="1:6" x14ac:dyDescent="0.35">
      <c r="A19" t="s">
        <v>377</v>
      </c>
      <c r="B19" t="s">
        <v>331</v>
      </c>
      <c r="C19" s="2">
        <v>46207</v>
      </c>
      <c r="D19" t="s">
        <v>17</v>
      </c>
      <c r="E19" t="s">
        <v>19</v>
      </c>
      <c r="F19" t="s">
        <v>358</v>
      </c>
    </row>
    <row r="20" spans="1:6" x14ac:dyDescent="0.35">
      <c r="A20" t="s">
        <v>378</v>
      </c>
      <c r="B20" t="s">
        <v>335</v>
      </c>
      <c r="C20" s="2">
        <v>45976</v>
      </c>
      <c r="D20" t="s">
        <v>46</v>
      </c>
      <c r="E20" t="s">
        <v>19</v>
      </c>
      <c r="F20" t="s">
        <v>358</v>
      </c>
    </row>
    <row r="21" spans="1:6" x14ac:dyDescent="0.35">
      <c r="A21" t="s">
        <v>379</v>
      </c>
      <c r="B21" t="s">
        <v>91</v>
      </c>
      <c r="C21" s="2">
        <v>46113</v>
      </c>
      <c r="D21" t="s">
        <v>46</v>
      </c>
      <c r="E21" t="s">
        <v>14</v>
      </c>
      <c r="F21" t="s">
        <v>360</v>
      </c>
    </row>
    <row r="22" spans="1:6" x14ac:dyDescent="0.35">
      <c r="A22" t="s">
        <v>380</v>
      </c>
      <c r="B22" t="s">
        <v>196</v>
      </c>
      <c r="C22" s="2">
        <v>46204</v>
      </c>
      <c r="D22" t="s">
        <v>46</v>
      </c>
      <c r="E22" t="s">
        <v>14</v>
      </c>
      <c r="F22" t="s">
        <v>360</v>
      </c>
    </row>
    <row r="23" spans="1:6" x14ac:dyDescent="0.35">
      <c r="A23" t="s">
        <v>381</v>
      </c>
      <c r="B23" t="s">
        <v>85</v>
      </c>
      <c r="C23" s="2">
        <v>46314</v>
      </c>
      <c r="D23" t="s">
        <v>28</v>
      </c>
      <c r="E23" t="s">
        <v>19</v>
      </c>
      <c r="F23" t="s">
        <v>358</v>
      </c>
    </row>
    <row r="24" spans="1:6" x14ac:dyDescent="0.35">
      <c r="A24" t="s">
        <v>382</v>
      </c>
      <c r="B24" t="s">
        <v>216</v>
      </c>
      <c r="C24" s="2">
        <v>46148</v>
      </c>
      <c r="D24" t="s">
        <v>46</v>
      </c>
      <c r="E24" t="s">
        <v>23</v>
      </c>
      <c r="F24" t="s">
        <v>360</v>
      </c>
    </row>
    <row r="25" spans="1:6" x14ac:dyDescent="0.35">
      <c r="A25" t="s">
        <v>383</v>
      </c>
      <c r="B25" t="s">
        <v>165</v>
      </c>
      <c r="C25" s="2">
        <v>46316</v>
      </c>
      <c r="D25" t="s">
        <v>17</v>
      </c>
      <c r="E25" t="s">
        <v>23</v>
      </c>
      <c r="F25" t="s">
        <v>360</v>
      </c>
    </row>
    <row r="26" spans="1:6" x14ac:dyDescent="0.35">
      <c r="A26" t="s">
        <v>384</v>
      </c>
      <c r="B26" t="s">
        <v>153</v>
      </c>
      <c r="C26" s="2">
        <v>46255</v>
      </c>
      <c r="D26" t="s">
        <v>46</v>
      </c>
      <c r="E26" t="s">
        <v>19</v>
      </c>
      <c r="F26" t="s">
        <v>358</v>
      </c>
    </row>
    <row r="27" spans="1:6" x14ac:dyDescent="0.35">
      <c r="A27" t="s">
        <v>385</v>
      </c>
      <c r="B27" t="s">
        <v>148</v>
      </c>
      <c r="C27" s="2">
        <v>46154</v>
      </c>
      <c r="D27" t="s">
        <v>34</v>
      </c>
      <c r="E27" t="s">
        <v>23</v>
      </c>
      <c r="F27" t="s">
        <v>360</v>
      </c>
    </row>
    <row r="28" spans="1:6" x14ac:dyDescent="0.35">
      <c r="A28" t="s">
        <v>386</v>
      </c>
      <c r="B28" t="s">
        <v>281</v>
      </c>
      <c r="C28" s="2">
        <v>46076</v>
      </c>
      <c r="D28" t="s">
        <v>28</v>
      </c>
      <c r="E28" t="s">
        <v>14</v>
      </c>
      <c r="F28" t="s">
        <v>360</v>
      </c>
    </row>
    <row r="29" spans="1:6" x14ac:dyDescent="0.35">
      <c r="A29" t="s">
        <v>387</v>
      </c>
      <c r="B29" t="s">
        <v>190</v>
      </c>
      <c r="C29" s="2">
        <v>46119</v>
      </c>
      <c r="D29" t="s">
        <v>28</v>
      </c>
      <c r="E29" t="s">
        <v>19</v>
      </c>
      <c r="F29" t="s">
        <v>362</v>
      </c>
    </row>
    <row r="30" spans="1:6" x14ac:dyDescent="0.35">
      <c r="A30" t="s">
        <v>388</v>
      </c>
      <c r="B30" t="s">
        <v>333</v>
      </c>
      <c r="C30" s="2">
        <v>46213</v>
      </c>
      <c r="D30" t="s">
        <v>34</v>
      </c>
      <c r="E30" t="s">
        <v>14</v>
      </c>
      <c r="F30" t="s">
        <v>360</v>
      </c>
    </row>
    <row r="31" spans="1:6" x14ac:dyDescent="0.35">
      <c r="A31" t="s">
        <v>389</v>
      </c>
      <c r="B31" t="s">
        <v>348</v>
      </c>
      <c r="C31" s="2">
        <v>46256</v>
      </c>
      <c r="D31" t="s">
        <v>28</v>
      </c>
      <c r="E31" t="s">
        <v>23</v>
      </c>
      <c r="F31" t="s">
        <v>360</v>
      </c>
    </row>
    <row r="32" spans="1:6" x14ac:dyDescent="0.35">
      <c r="A32" t="s">
        <v>390</v>
      </c>
      <c r="B32" t="s">
        <v>307</v>
      </c>
      <c r="C32" s="2">
        <v>46066</v>
      </c>
      <c r="D32" t="s">
        <v>34</v>
      </c>
      <c r="E32" t="s">
        <v>19</v>
      </c>
      <c r="F32" t="s">
        <v>362</v>
      </c>
    </row>
    <row r="33" spans="1:6" x14ac:dyDescent="0.35">
      <c r="A33" t="s">
        <v>391</v>
      </c>
      <c r="B33" t="s">
        <v>225</v>
      </c>
      <c r="C33" s="2">
        <v>46221</v>
      </c>
      <c r="D33" t="s">
        <v>28</v>
      </c>
      <c r="E33" t="s">
        <v>19</v>
      </c>
      <c r="F33" t="s">
        <v>358</v>
      </c>
    </row>
    <row r="34" spans="1:6" x14ac:dyDescent="0.35">
      <c r="A34" t="s">
        <v>392</v>
      </c>
      <c r="B34" t="s">
        <v>317</v>
      </c>
      <c r="C34" s="2">
        <v>46039</v>
      </c>
      <c r="D34" t="s">
        <v>10</v>
      </c>
      <c r="E34" t="s">
        <v>14</v>
      </c>
      <c r="F34" t="s">
        <v>360</v>
      </c>
    </row>
    <row r="35" spans="1:6" x14ac:dyDescent="0.35">
      <c r="A35" t="s">
        <v>393</v>
      </c>
      <c r="B35" t="s">
        <v>287</v>
      </c>
      <c r="C35" s="2">
        <v>46066</v>
      </c>
      <c r="D35" t="s">
        <v>46</v>
      </c>
      <c r="E35" t="s">
        <v>14</v>
      </c>
      <c r="F35" t="s">
        <v>360</v>
      </c>
    </row>
    <row r="36" spans="1:6" x14ac:dyDescent="0.35">
      <c r="A36" t="s">
        <v>394</v>
      </c>
      <c r="B36" t="s">
        <v>117</v>
      </c>
      <c r="C36" s="2">
        <v>46325</v>
      </c>
      <c r="D36" t="s">
        <v>28</v>
      </c>
      <c r="E36" t="s">
        <v>23</v>
      </c>
      <c r="F36" t="s">
        <v>360</v>
      </c>
    </row>
    <row r="37" spans="1:6" x14ac:dyDescent="0.35">
      <c r="A37" t="s">
        <v>395</v>
      </c>
      <c r="B37" t="s">
        <v>286</v>
      </c>
      <c r="C37" s="2">
        <v>46285</v>
      </c>
      <c r="D37" t="s">
        <v>46</v>
      </c>
      <c r="E37" t="s">
        <v>23</v>
      </c>
      <c r="F37" t="s">
        <v>360</v>
      </c>
    </row>
    <row r="38" spans="1:6" x14ac:dyDescent="0.35">
      <c r="A38" t="s">
        <v>396</v>
      </c>
      <c r="B38" t="s">
        <v>308</v>
      </c>
      <c r="C38" s="2">
        <v>46106</v>
      </c>
      <c r="D38" t="s">
        <v>10</v>
      </c>
      <c r="E38" t="s">
        <v>14</v>
      </c>
      <c r="F38" t="s">
        <v>360</v>
      </c>
    </row>
    <row r="39" spans="1:6" x14ac:dyDescent="0.35">
      <c r="A39" t="s">
        <v>397</v>
      </c>
      <c r="B39" t="s">
        <v>150</v>
      </c>
      <c r="C39" s="2">
        <v>45997</v>
      </c>
      <c r="D39" t="s">
        <v>28</v>
      </c>
      <c r="E39" t="s">
        <v>19</v>
      </c>
      <c r="F39" t="s">
        <v>360</v>
      </c>
    </row>
    <row r="40" spans="1:6" x14ac:dyDescent="0.35">
      <c r="A40" t="s">
        <v>398</v>
      </c>
      <c r="B40" t="s">
        <v>63</v>
      </c>
      <c r="C40" s="2">
        <v>46171</v>
      </c>
      <c r="D40" t="s">
        <v>17</v>
      </c>
      <c r="E40" t="s">
        <v>14</v>
      </c>
      <c r="F40" t="s">
        <v>360</v>
      </c>
    </row>
    <row r="41" spans="1:6" x14ac:dyDescent="0.35">
      <c r="A41" t="s">
        <v>399</v>
      </c>
      <c r="B41" t="s">
        <v>99</v>
      </c>
      <c r="C41" s="2">
        <v>46064</v>
      </c>
      <c r="D41" t="s">
        <v>34</v>
      </c>
      <c r="E41" t="s">
        <v>19</v>
      </c>
      <c r="F41" t="s">
        <v>362</v>
      </c>
    </row>
    <row r="42" spans="1:6" x14ac:dyDescent="0.35">
      <c r="A42" t="s">
        <v>400</v>
      </c>
      <c r="B42" t="s">
        <v>292</v>
      </c>
      <c r="C42" s="2">
        <v>46085</v>
      </c>
      <c r="D42" t="s">
        <v>28</v>
      </c>
      <c r="E42" t="s">
        <v>14</v>
      </c>
      <c r="F42" t="s">
        <v>360</v>
      </c>
    </row>
    <row r="43" spans="1:6" x14ac:dyDescent="0.35">
      <c r="A43" t="s">
        <v>401</v>
      </c>
      <c r="B43" t="s">
        <v>339</v>
      </c>
      <c r="C43" s="2">
        <v>46090</v>
      </c>
      <c r="D43" t="s">
        <v>10</v>
      </c>
      <c r="E43" t="s">
        <v>19</v>
      </c>
      <c r="F43" t="s">
        <v>358</v>
      </c>
    </row>
    <row r="44" spans="1:6" x14ac:dyDescent="0.35">
      <c r="A44" t="s">
        <v>402</v>
      </c>
      <c r="B44" t="s">
        <v>132</v>
      </c>
      <c r="C44" s="2">
        <v>46196</v>
      </c>
      <c r="D44" t="s">
        <v>10</v>
      </c>
      <c r="E44" t="s">
        <v>19</v>
      </c>
      <c r="F44" t="s">
        <v>358</v>
      </c>
    </row>
    <row r="45" spans="1:6" x14ac:dyDescent="0.35">
      <c r="A45" t="s">
        <v>403</v>
      </c>
      <c r="B45" t="s">
        <v>104</v>
      </c>
      <c r="C45" s="2">
        <v>46292</v>
      </c>
      <c r="D45" t="s">
        <v>30</v>
      </c>
      <c r="E45" t="s">
        <v>19</v>
      </c>
      <c r="F45" t="s">
        <v>358</v>
      </c>
    </row>
    <row r="46" spans="1:6" x14ac:dyDescent="0.35">
      <c r="A46" t="s">
        <v>404</v>
      </c>
      <c r="B46" t="s">
        <v>68</v>
      </c>
      <c r="C46" s="2">
        <v>46319</v>
      </c>
      <c r="D46" t="s">
        <v>28</v>
      </c>
      <c r="E46" t="s">
        <v>14</v>
      </c>
      <c r="F46" t="s">
        <v>360</v>
      </c>
    </row>
    <row r="47" spans="1:6" x14ac:dyDescent="0.35">
      <c r="A47" t="s">
        <v>405</v>
      </c>
      <c r="B47" t="s">
        <v>147</v>
      </c>
      <c r="C47" s="2">
        <v>45986</v>
      </c>
      <c r="D47" t="s">
        <v>34</v>
      </c>
      <c r="E47" t="s">
        <v>14</v>
      </c>
      <c r="F47" t="s">
        <v>360</v>
      </c>
    </row>
    <row r="48" spans="1:6" x14ac:dyDescent="0.35">
      <c r="A48" t="s">
        <v>406</v>
      </c>
      <c r="B48" t="s">
        <v>191</v>
      </c>
      <c r="C48" s="2">
        <v>46226</v>
      </c>
      <c r="D48" t="s">
        <v>34</v>
      </c>
      <c r="E48" t="s">
        <v>19</v>
      </c>
      <c r="F48" t="s">
        <v>360</v>
      </c>
    </row>
    <row r="49" spans="1:6" x14ac:dyDescent="0.35">
      <c r="A49" t="s">
        <v>407</v>
      </c>
      <c r="B49" t="s">
        <v>284</v>
      </c>
      <c r="C49" s="2">
        <v>46136</v>
      </c>
      <c r="D49" t="s">
        <v>17</v>
      </c>
      <c r="E49" t="s">
        <v>19</v>
      </c>
      <c r="F49" t="s">
        <v>360</v>
      </c>
    </row>
    <row r="50" spans="1:6" x14ac:dyDescent="0.35">
      <c r="A50" t="s">
        <v>408</v>
      </c>
      <c r="B50" t="s">
        <v>126</v>
      </c>
      <c r="C50" s="2">
        <v>46268</v>
      </c>
      <c r="D50" t="s">
        <v>17</v>
      </c>
      <c r="E50" t="s">
        <v>23</v>
      </c>
      <c r="F50" t="s">
        <v>360</v>
      </c>
    </row>
    <row r="51" spans="1:6" x14ac:dyDescent="0.35">
      <c r="A51" t="s">
        <v>409</v>
      </c>
      <c r="B51" t="s">
        <v>258</v>
      </c>
      <c r="C51" s="2">
        <v>46213</v>
      </c>
      <c r="D51" t="s">
        <v>17</v>
      </c>
      <c r="E51" t="s">
        <v>19</v>
      </c>
      <c r="F51" t="s">
        <v>362</v>
      </c>
    </row>
    <row r="52" spans="1:6" x14ac:dyDescent="0.35">
      <c r="A52" t="s">
        <v>410</v>
      </c>
      <c r="B52" t="s">
        <v>334</v>
      </c>
      <c r="C52" s="2">
        <v>46076</v>
      </c>
      <c r="D52" t="s">
        <v>30</v>
      </c>
      <c r="E52" t="s">
        <v>19</v>
      </c>
      <c r="F52" t="s">
        <v>358</v>
      </c>
    </row>
    <row r="53" spans="1:6" x14ac:dyDescent="0.35">
      <c r="A53" t="s">
        <v>411</v>
      </c>
      <c r="B53" t="s">
        <v>281</v>
      </c>
      <c r="C53" s="2">
        <v>46299</v>
      </c>
      <c r="D53" t="s">
        <v>34</v>
      </c>
      <c r="E53" t="s">
        <v>19</v>
      </c>
      <c r="F53" t="s">
        <v>358</v>
      </c>
    </row>
    <row r="54" spans="1:6" x14ac:dyDescent="0.35">
      <c r="A54" t="s">
        <v>412</v>
      </c>
      <c r="B54" t="s">
        <v>72</v>
      </c>
      <c r="C54" s="2">
        <v>46123</v>
      </c>
      <c r="D54" t="s">
        <v>34</v>
      </c>
      <c r="E54" t="s">
        <v>19</v>
      </c>
      <c r="F54" t="s">
        <v>360</v>
      </c>
    </row>
    <row r="55" spans="1:6" x14ac:dyDescent="0.35">
      <c r="A55" t="s">
        <v>413</v>
      </c>
      <c r="B55" t="s">
        <v>252</v>
      </c>
      <c r="C55" s="2">
        <v>46251</v>
      </c>
      <c r="D55" t="s">
        <v>17</v>
      </c>
      <c r="E55" t="s">
        <v>19</v>
      </c>
      <c r="F55" t="s">
        <v>360</v>
      </c>
    </row>
    <row r="56" spans="1:6" x14ac:dyDescent="0.35">
      <c r="A56" t="s">
        <v>414</v>
      </c>
      <c r="B56" t="s">
        <v>74</v>
      </c>
      <c r="C56" s="2">
        <v>46010</v>
      </c>
      <c r="D56" t="s">
        <v>30</v>
      </c>
      <c r="E56" t="s">
        <v>19</v>
      </c>
      <c r="F56" t="s">
        <v>360</v>
      </c>
    </row>
    <row r="57" spans="1:6" x14ac:dyDescent="0.35">
      <c r="A57" t="s">
        <v>415</v>
      </c>
      <c r="B57" t="s">
        <v>318</v>
      </c>
      <c r="C57" s="2">
        <v>46001</v>
      </c>
      <c r="D57" t="s">
        <v>28</v>
      </c>
      <c r="E57" t="s">
        <v>14</v>
      </c>
      <c r="F57" t="s">
        <v>360</v>
      </c>
    </row>
    <row r="58" spans="1:6" x14ac:dyDescent="0.35">
      <c r="A58" t="s">
        <v>416</v>
      </c>
      <c r="B58" t="s">
        <v>222</v>
      </c>
      <c r="C58" s="2">
        <v>46003</v>
      </c>
      <c r="D58" t="s">
        <v>30</v>
      </c>
      <c r="E58" t="s">
        <v>19</v>
      </c>
      <c r="F58" t="s">
        <v>358</v>
      </c>
    </row>
    <row r="59" spans="1:6" x14ac:dyDescent="0.35">
      <c r="A59" t="s">
        <v>417</v>
      </c>
      <c r="B59" t="s">
        <v>289</v>
      </c>
      <c r="C59" s="2">
        <v>46081</v>
      </c>
      <c r="D59" t="s">
        <v>28</v>
      </c>
      <c r="E59" t="s">
        <v>23</v>
      </c>
      <c r="F59" t="s">
        <v>360</v>
      </c>
    </row>
    <row r="60" spans="1:6" x14ac:dyDescent="0.35">
      <c r="A60" t="s">
        <v>418</v>
      </c>
      <c r="B60" t="s">
        <v>67</v>
      </c>
      <c r="C60" s="2">
        <v>46127</v>
      </c>
      <c r="D60" t="s">
        <v>46</v>
      </c>
      <c r="E60" t="s">
        <v>14</v>
      </c>
      <c r="F60" t="s">
        <v>360</v>
      </c>
    </row>
    <row r="61" spans="1:6" x14ac:dyDescent="0.35">
      <c r="A61" t="s">
        <v>419</v>
      </c>
      <c r="B61" t="s">
        <v>176</v>
      </c>
      <c r="C61" s="2">
        <v>46032</v>
      </c>
      <c r="D61" t="s">
        <v>10</v>
      </c>
      <c r="E61" t="s">
        <v>19</v>
      </c>
      <c r="F61" t="s">
        <v>360</v>
      </c>
    </row>
    <row r="62" spans="1:6" x14ac:dyDescent="0.35">
      <c r="A62" t="s">
        <v>420</v>
      </c>
      <c r="B62" t="s">
        <v>273</v>
      </c>
      <c r="C62" s="2">
        <v>46026</v>
      </c>
      <c r="D62" t="s">
        <v>17</v>
      </c>
      <c r="E62" t="s">
        <v>14</v>
      </c>
      <c r="F62" t="s">
        <v>360</v>
      </c>
    </row>
    <row r="63" spans="1:6" x14ac:dyDescent="0.35">
      <c r="A63" t="s">
        <v>421</v>
      </c>
      <c r="B63" t="s">
        <v>41</v>
      </c>
      <c r="C63" s="2">
        <v>46177</v>
      </c>
      <c r="D63" t="s">
        <v>34</v>
      </c>
      <c r="E63" t="s">
        <v>14</v>
      </c>
      <c r="F63" t="s">
        <v>360</v>
      </c>
    </row>
    <row r="64" spans="1:6" x14ac:dyDescent="0.35">
      <c r="A64" t="s">
        <v>422</v>
      </c>
      <c r="B64" t="s">
        <v>210</v>
      </c>
      <c r="C64" s="2">
        <v>46189</v>
      </c>
      <c r="D64" t="s">
        <v>34</v>
      </c>
      <c r="E64" t="s">
        <v>19</v>
      </c>
      <c r="F64" t="s">
        <v>362</v>
      </c>
    </row>
    <row r="65" spans="1:6" x14ac:dyDescent="0.35">
      <c r="A65" t="s">
        <v>423</v>
      </c>
      <c r="B65" t="s">
        <v>40</v>
      </c>
      <c r="C65" s="2">
        <v>45965</v>
      </c>
      <c r="D65" t="s">
        <v>10</v>
      </c>
      <c r="E65" t="s">
        <v>23</v>
      </c>
      <c r="F65" t="s">
        <v>360</v>
      </c>
    </row>
    <row r="66" spans="1:6" x14ac:dyDescent="0.35">
      <c r="A66" t="s">
        <v>424</v>
      </c>
      <c r="B66" t="s">
        <v>72</v>
      </c>
      <c r="C66" s="2">
        <v>46315</v>
      </c>
      <c r="D66" t="s">
        <v>30</v>
      </c>
      <c r="E66" t="s">
        <v>14</v>
      </c>
      <c r="F66" t="s">
        <v>360</v>
      </c>
    </row>
    <row r="67" spans="1:6" x14ac:dyDescent="0.35">
      <c r="A67" t="s">
        <v>425</v>
      </c>
      <c r="B67" t="s">
        <v>203</v>
      </c>
      <c r="C67" s="2">
        <v>45985</v>
      </c>
      <c r="D67" t="s">
        <v>34</v>
      </c>
      <c r="E67" t="s">
        <v>19</v>
      </c>
      <c r="F67" t="s">
        <v>358</v>
      </c>
    </row>
    <row r="68" spans="1:6" x14ac:dyDescent="0.35">
      <c r="A68" t="s">
        <v>426</v>
      </c>
      <c r="B68" t="s">
        <v>305</v>
      </c>
      <c r="C68" s="2">
        <v>46078</v>
      </c>
      <c r="D68" t="s">
        <v>28</v>
      </c>
      <c r="E68" t="s">
        <v>19</v>
      </c>
      <c r="F68" t="s">
        <v>358</v>
      </c>
    </row>
    <row r="69" spans="1:6" x14ac:dyDescent="0.35">
      <c r="A69" t="s">
        <v>427</v>
      </c>
      <c r="B69" t="s">
        <v>24</v>
      </c>
      <c r="C69" s="2">
        <v>46162</v>
      </c>
      <c r="D69" t="s">
        <v>34</v>
      </c>
      <c r="E69" t="s">
        <v>14</v>
      </c>
      <c r="F69" t="s">
        <v>360</v>
      </c>
    </row>
    <row r="70" spans="1:6" x14ac:dyDescent="0.35">
      <c r="A70" t="s">
        <v>428</v>
      </c>
      <c r="B70" t="s">
        <v>211</v>
      </c>
      <c r="C70" s="2">
        <v>46317</v>
      </c>
      <c r="D70" t="s">
        <v>30</v>
      </c>
      <c r="E70" t="s">
        <v>19</v>
      </c>
      <c r="F70" t="s">
        <v>362</v>
      </c>
    </row>
    <row r="71" spans="1:6" x14ac:dyDescent="0.35">
      <c r="A71" t="s">
        <v>429</v>
      </c>
      <c r="B71" t="s">
        <v>114</v>
      </c>
      <c r="C71" s="2">
        <v>46204</v>
      </c>
      <c r="D71" t="s">
        <v>28</v>
      </c>
      <c r="E71" t="s">
        <v>14</v>
      </c>
      <c r="F71" t="s">
        <v>360</v>
      </c>
    </row>
    <row r="72" spans="1:6" x14ac:dyDescent="0.35">
      <c r="A72" t="s">
        <v>430</v>
      </c>
      <c r="B72" t="s">
        <v>285</v>
      </c>
      <c r="C72" s="2">
        <v>46310</v>
      </c>
      <c r="D72" t="s">
        <v>28</v>
      </c>
      <c r="E72" t="s">
        <v>23</v>
      </c>
      <c r="F72" t="s">
        <v>360</v>
      </c>
    </row>
    <row r="73" spans="1:6" x14ac:dyDescent="0.35">
      <c r="A73" t="s">
        <v>431</v>
      </c>
      <c r="B73" t="s">
        <v>325</v>
      </c>
      <c r="C73" s="2">
        <v>46174</v>
      </c>
      <c r="D73" t="s">
        <v>34</v>
      </c>
      <c r="E73" t="s">
        <v>23</v>
      </c>
      <c r="F73" t="s">
        <v>360</v>
      </c>
    </row>
    <row r="74" spans="1:6" x14ac:dyDescent="0.35">
      <c r="A74" t="s">
        <v>432</v>
      </c>
      <c r="B74" t="s">
        <v>135</v>
      </c>
      <c r="C74" s="2">
        <v>46295</v>
      </c>
      <c r="D74" t="s">
        <v>34</v>
      </c>
      <c r="E74" t="s">
        <v>23</v>
      </c>
      <c r="F74" t="s">
        <v>360</v>
      </c>
    </row>
    <row r="75" spans="1:6" x14ac:dyDescent="0.35">
      <c r="A75" t="s">
        <v>433</v>
      </c>
      <c r="B75" t="s">
        <v>186</v>
      </c>
      <c r="C75" s="2">
        <v>46173</v>
      </c>
      <c r="D75" t="s">
        <v>10</v>
      </c>
      <c r="E75" t="s">
        <v>19</v>
      </c>
      <c r="F75" t="s">
        <v>358</v>
      </c>
    </row>
    <row r="76" spans="1:6" x14ac:dyDescent="0.35">
      <c r="A76" t="s">
        <v>434</v>
      </c>
      <c r="B76" t="s">
        <v>101</v>
      </c>
      <c r="C76" s="2">
        <v>46223</v>
      </c>
      <c r="D76" t="s">
        <v>28</v>
      </c>
      <c r="E76" t="s">
        <v>23</v>
      </c>
      <c r="F76" t="s">
        <v>360</v>
      </c>
    </row>
    <row r="77" spans="1:6" x14ac:dyDescent="0.35">
      <c r="A77" t="s">
        <v>435</v>
      </c>
      <c r="B77" t="s">
        <v>93</v>
      </c>
      <c r="C77" s="2">
        <v>46325</v>
      </c>
      <c r="D77" t="s">
        <v>46</v>
      </c>
      <c r="E77" t="s">
        <v>19</v>
      </c>
      <c r="F77" t="s">
        <v>358</v>
      </c>
    </row>
    <row r="78" spans="1:6" x14ac:dyDescent="0.35">
      <c r="A78" t="s">
        <v>436</v>
      </c>
      <c r="B78" t="s">
        <v>93</v>
      </c>
      <c r="C78" s="2">
        <v>46027</v>
      </c>
      <c r="D78" t="s">
        <v>46</v>
      </c>
      <c r="E78" t="s">
        <v>14</v>
      </c>
      <c r="F78" t="s">
        <v>360</v>
      </c>
    </row>
    <row r="79" spans="1:6" x14ac:dyDescent="0.35">
      <c r="A79" t="s">
        <v>437</v>
      </c>
      <c r="B79" t="s">
        <v>292</v>
      </c>
      <c r="C79" s="2">
        <v>46126</v>
      </c>
      <c r="D79" t="s">
        <v>46</v>
      </c>
      <c r="E79" t="s">
        <v>14</v>
      </c>
      <c r="F79" t="s">
        <v>360</v>
      </c>
    </row>
    <row r="80" spans="1:6" x14ac:dyDescent="0.35">
      <c r="A80" t="s">
        <v>438</v>
      </c>
      <c r="B80" t="s">
        <v>136</v>
      </c>
      <c r="C80" s="2">
        <v>46034</v>
      </c>
      <c r="D80" t="s">
        <v>10</v>
      </c>
      <c r="E80" t="s">
        <v>14</v>
      </c>
      <c r="F80" t="s">
        <v>360</v>
      </c>
    </row>
    <row r="81" spans="1:6" x14ac:dyDescent="0.35">
      <c r="A81" t="s">
        <v>439</v>
      </c>
      <c r="B81" t="s">
        <v>348</v>
      </c>
      <c r="C81" s="2">
        <v>46269</v>
      </c>
      <c r="D81" t="s">
        <v>10</v>
      </c>
      <c r="E81" t="s">
        <v>19</v>
      </c>
      <c r="F81" t="s">
        <v>358</v>
      </c>
    </row>
    <row r="82" spans="1:6" x14ac:dyDescent="0.35">
      <c r="A82" t="s">
        <v>440</v>
      </c>
      <c r="B82" t="s">
        <v>98</v>
      </c>
      <c r="C82" s="2">
        <v>46312</v>
      </c>
      <c r="D82" t="s">
        <v>17</v>
      </c>
      <c r="E82" t="s">
        <v>14</v>
      </c>
      <c r="F82" t="s">
        <v>360</v>
      </c>
    </row>
    <row r="83" spans="1:6" x14ac:dyDescent="0.35">
      <c r="A83" t="s">
        <v>441</v>
      </c>
      <c r="B83" t="s">
        <v>191</v>
      </c>
      <c r="C83" s="2">
        <v>46125</v>
      </c>
      <c r="D83" t="s">
        <v>10</v>
      </c>
      <c r="E83" t="s">
        <v>14</v>
      </c>
      <c r="F83" t="s">
        <v>360</v>
      </c>
    </row>
    <row r="84" spans="1:6" x14ac:dyDescent="0.35">
      <c r="A84" t="s">
        <v>442</v>
      </c>
      <c r="B84" t="s">
        <v>153</v>
      </c>
      <c r="C84" s="2">
        <v>46126</v>
      </c>
      <c r="D84" t="s">
        <v>10</v>
      </c>
      <c r="E84" t="s">
        <v>19</v>
      </c>
      <c r="F84" t="s">
        <v>360</v>
      </c>
    </row>
    <row r="85" spans="1:6" x14ac:dyDescent="0.35">
      <c r="A85" t="s">
        <v>443</v>
      </c>
      <c r="B85" t="s">
        <v>153</v>
      </c>
      <c r="C85" s="2">
        <v>46087</v>
      </c>
      <c r="D85" t="s">
        <v>10</v>
      </c>
      <c r="E85" t="s">
        <v>19</v>
      </c>
      <c r="F85" t="s">
        <v>358</v>
      </c>
    </row>
    <row r="86" spans="1:6" x14ac:dyDescent="0.35">
      <c r="A86" t="s">
        <v>444</v>
      </c>
      <c r="B86" t="s">
        <v>42</v>
      </c>
      <c r="C86" s="2">
        <v>46065</v>
      </c>
      <c r="D86" t="s">
        <v>46</v>
      </c>
      <c r="E86" t="s">
        <v>19</v>
      </c>
      <c r="F86" t="s">
        <v>358</v>
      </c>
    </row>
    <row r="87" spans="1:6" x14ac:dyDescent="0.35">
      <c r="A87" t="s">
        <v>445</v>
      </c>
      <c r="B87" t="s">
        <v>90</v>
      </c>
      <c r="C87" s="2">
        <v>46022</v>
      </c>
      <c r="D87" t="s">
        <v>28</v>
      </c>
      <c r="E87" t="s">
        <v>19</v>
      </c>
      <c r="F87" t="s">
        <v>358</v>
      </c>
    </row>
    <row r="88" spans="1:6" x14ac:dyDescent="0.35">
      <c r="A88" t="s">
        <v>446</v>
      </c>
      <c r="B88" t="s">
        <v>323</v>
      </c>
      <c r="C88" s="2">
        <v>46067</v>
      </c>
      <c r="D88" t="s">
        <v>34</v>
      </c>
      <c r="E88" t="s">
        <v>14</v>
      </c>
      <c r="F88" t="s">
        <v>360</v>
      </c>
    </row>
    <row r="89" spans="1:6" x14ac:dyDescent="0.35">
      <c r="A89" t="s">
        <v>447</v>
      </c>
      <c r="B89" t="s">
        <v>40</v>
      </c>
      <c r="C89" s="2">
        <v>46162</v>
      </c>
      <c r="D89" t="s">
        <v>10</v>
      </c>
      <c r="E89" t="s">
        <v>23</v>
      </c>
      <c r="F89" t="s">
        <v>360</v>
      </c>
    </row>
    <row r="90" spans="1:6" x14ac:dyDescent="0.35">
      <c r="A90" t="s">
        <v>448</v>
      </c>
      <c r="B90" t="s">
        <v>192</v>
      </c>
      <c r="C90" s="2">
        <v>46240</v>
      </c>
      <c r="D90" t="s">
        <v>30</v>
      </c>
      <c r="E90" t="s">
        <v>14</v>
      </c>
      <c r="F90" t="s">
        <v>360</v>
      </c>
    </row>
    <row r="91" spans="1:6" x14ac:dyDescent="0.35">
      <c r="A91" t="s">
        <v>449</v>
      </c>
      <c r="B91" t="s">
        <v>310</v>
      </c>
      <c r="C91" s="2">
        <v>46040</v>
      </c>
      <c r="D91" t="s">
        <v>10</v>
      </c>
      <c r="E91" t="s">
        <v>19</v>
      </c>
      <c r="F91" t="s">
        <v>360</v>
      </c>
    </row>
    <row r="92" spans="1:6" x14ac:dyDescent="0.35">
      <c r="A92" t="s">
        <v>450</v>
      </c>
      <c r="B92" t="s">
        <v>40</v>
      </c>
      <c r="C92" s="2">
        <v>46029</v>
      </c>
      <c r="D92" t="s">
        <v>17</v>
      </c>
      <c r="E92" t="s">
        <v>19</v>
      </c>
      <c r="F92" t="s">
        <v>358</v>
      </c>
    </row>
    <row r="93" spans="1:6" x14ac:dyDescent="0.35">
      <c r="A93" t="s">
        <v>451</v>
      </c>
      <c r="B93" t="s">
        <v>119</v>
      </c>
      <c r="C93" s="2">
        <v>46002</v>
      </c>
      <c r="D93" t="s">
        <v>17</v>
      </c>
      <c r="E93" t="s">
        <v>19</v>
      </c>
      <c r="F93" t="s">
        <v>362</v>
      </c>
    </row>
    <row r="94" spans="1:6" x14ac:dyDescent="0.35">
      <c r="A94" t="s">
        <v>452</v>
      </c>
      <c r="B94" t="s">
        <v>268</v>
      </c>
      <c r="C94" s="2">
        <v>46069</v>
      </c>
      <c r="D94" t="s">
        <v>34</v>
      </c>
      <c r="E94" t="s">
        <v>14</v>
      </c>
      <c r="F94" t="s">
        <v>360</v>
      </c>
    </row>
    <row r="95" spans="1:6" x14ac:dyDescent="0.35">
      <c r="A95" t="s">
        <v>453</v>
      </c>
      <c r="B95" t="s">
        <v>78</v>
      </c>
      <c r="C95" s="2">
        <v>46243</v>
      </c>
      <c r="D95" t="s">
        <v>28</v>
      </c>
      <c r="E95" t="s">
        <v>19</v>
      </c>
      <c r="F95" t="s">
        <v>362</v>
      </c>
    </row>
    <row r="96" spans="1:6" x14ac:dyDescent="0.35">
      <c r="A96" t="s">
        <v>454</v>
      </c>
      <c r="B96" t="s">
        <v>180</v>
      </c>
      <c r="C96" s="2">
        <v>46241</v>
      </c>
      <c r="D96" t="s">
        <v>46</v>
      </c>
      <c r="E96" t="s">
        <v>23</v>
      </c>
      <c r="F96" t="s">
        <v>360</v>
      </c>
    </row>
    <row r="97" spans="1:6" x14ac:dyDescent="0.35">
      <c r="A97" t="s">
        <v>455</v>
      </c>
      <c r="B97" t="s">
        <v>258</v>
      </c>
      <c r="C97" s="2">
        <v>46159</v>
      </c>
      <c r="D97" t="s">
        <v>30</v>
      </c>
      <c r="E97" t="s">
        <v>19</v>
      </c>
      <c r="F97" t="s">
        <v>362</v>
      </c>
    </row>
    <row r="98" spans="1:6" x14ac:dyDescent="0.35">
      <c r="A98" t="s">
        <v>456</v>
      </c>
      <c r="B98" t="s">
        <v>140</v>
      </c>
      <c r="C98" s="2">
        <v>46000</v>
      </c>
      <c r="D98" t="s">
        <v>28</v>
      </c>
      <c r="E98" t="s">
        <v>14</v>
      </c>
      <c r="F98" t="s">
        <v>360</v>
      </c>
    </row>
    <row r="99" spans="1:6" x14ac:dyDescent="0.35">
      <c r="A99" t="s">
        <v>457</v>
      </c>
      <c r="B99" t="s">
        <v>78</v>
      </c>
      <c r="C99" s="2">
        <v>46294</v>
      </c>
      <c r="D99" t="s">
        <v>28</v>
      </c>
      <c r="E99" t="s">
        <v>14</v>
      </c>
      <c r="F99" t="s">
        <v>360</v>
      </c>
    </row>
    <row r="100" spans="1:6" x14ac:dyDescent="0.35">
      <c r="A100" t="s">
        <v>458</v>
      </c>
      <c r="B100" t="s">
        <v>228</v>
      </c>
      <c r="C100" s="2">
        <v>46065</v>
      </c>
      <c r="D100" t="s">
        <v>30</v>
      </c>
      <c r="E100" t="s">
        <v>14</v>
      </c>
      <c r="F100" t="s">
        <v>360</v>
      </c>
    </row>
    <row r="101" spans="1:6" x14ac:dyDescent="0.35">
      <c r="A101" t="s">
        <v>459</v>
      </c>
      <c r="B101" t="s">
        <v>92</v>
      </c>
      <c r="C101" s="2">
        <v>46066</v>
      </c>
      <c r="D101" t="s">
        <v>10</v>
      </c>
      <c r="E101" t="s">
        <v>19</v>
      </c>
      <c r="F101" t="s">
        <v>358</v>
      </c>
    </row>
    <row r="102" spans="1:6" x14ac:dyDescent="0.35">
      <c r="A102" t="s">
        <v>460</v>
      </c>
      <c r="B102" t="s">
        <v>103</v>
      </c>
      <c r="C102" s="2">
        <v>46079</v>
      </c>
      <c r="D102" t="s">
        <v>30</v>
      </c>
      <c r="E102" t="s">
        <v>14</v>
      </c>
      <c r="F102" t="s">
        <v>360</v>
      </c>
    </row>
    <row r="103" spans="1:6" x14ac:dyDescent="0.35">
      <c r="A103" t="s">
        <v>461</v>
      </c>
      <c r="B103" t="s">
        <v>329</v>
      </c>
      <c r="C103" s="2">
        <v>46055</v>
      </c>
      <c r="D103" t="s">
        <v>46</v>
      </c>
      <c r="E103" t="s">
        <v>19</v>
      </c>
      <c r="F103" t="s">
        <v>358</v>
      </c>
    </row>
    <row r="104" spans="1:6" x14ac:dyDescent="0.35">
      <c r="A104" t="s">
        <v>462</v>
      </c>
      <c r="B104" t="s">
        <v>69</v>
      </c>
      <c r="C104" s="2">
        <v>46004</v>
      </c>
      <c r="D104" t="s">
        <v>34</v>
      </c>
      <c r="E104" t="s">
        <v>19</v>
      </c>
      <c r="F104" t="s">
        <v>358</v>
      </c>
    </row>
    <row r="105" spans="1:6" x14ac:dyDescent="0.35">
      <c r="A105" t="s">
        <v>463</v>
      </c>
      <c r="B105" t="s">
        <v>270</v>
      </c>
      <c r="C105" s="2">
        <v>46218</v>
      </c>
      <c r="D105" t="s">
        <v>28</v>
      </c>
      <c r="E105" t="s">
        <v>14</v>
      </c>
      <c r="F105" t="s">
        <v>360</v>
      </c>
    </row>
    <row r="106" spans="1:6" x14ac:dyDescent="0.35">
      <c r="A106" t="s">
        <v>464</v>
      </c>
      <c r="B106" t="s">
        <v>304</v>
      </c>
      <c r="C106" s="2">
        <v>46121</v>
      </c>
      <c r="D106" t="s">
        <v>46</v>
      </c>
      <c r="E106" t="s">
        <v>19</v>
      </c>
      <c r="F106" t="s">
        <v>358</v>
      </c>
    </row>
    <row r="107" spans="1:6" x14ac:dyDescent="0.35">
      <c r="A107" t="s">
        <v>465</v>
      </c>
      <c r="B107" t="s">
        <v>152</v>
      </c>
      <c r="C107" s="2">
        <v>46126</v>
      </c>
      <c r="D107" t="s">
        <v>46</v>
      </c>
      <c r="E107" t="s">
        <v>14</v>
      </c>
      <c r="F107" t="s">
        <v>360</v>
      </c>
    </row>
    <row r="108" spans="1:6" x14ac:dyDescent="0.35">
      <c r="A108" t="s">
        <v>466</v>
      </c>
      <c r="B108" t="s">
        <v>180</v>
      </c>
      <c r="C108" s="2">
        <v>46071</v>
      </c>
      <c r="D108" t="s">
        <v>28</v>
      </c>
      <c r="E108" t="s">
        <v>14</v>
      </c>
      <c r="F108" t="s">
        <v>360</v>
      </c>
    </row>
    <row r="109" spans="1:6" x14ac:dyDescent="0.35">
      <c r="A109" t="s">
        <v>467</v>
      </c>
      <c r="B109" t="s">
        <v>94</v>
      </c>
      <c r="C109" s="2">
        <v>46083</v>
      </c>
      <c r="D109" t="s">
        <v>10</v>
      </c>
      <c r="E109" t="s">
        <v>14</v>
      </c>
      <c r="F109" t="s">
        <v>360</v>
      </c>
    </row>
    <row r="110" spans="1:6" x14ac:dyDescent="0.35">
      <c r="A110" t="s">
        <v>468</v>
      </c>
      <c r="B110" t="s">
        <v>158</v>
      </c>
      <c r="C110" s="2">
        <v>46286</v>
      </c>
      <c r="D110" t="s">
        <v>17</v>
      </c>
      <c r="E110" t="s">
        <v>19</v>
      </c>
      <c r="F110" t="s">
        <v>362</v>
      </c>
    </row>
    <row r="111" spans="1:6" x14ac:dyDescent="0.35">
      <c r="A111" t="s">
        <v>469</v>
      </c>
      <c r="B111" t="s">
        <v>274</v>
      </c>
      <c r="C111" s="2">
        <v>46024</v>
      </c>
      <c r="D111" t="s">
        <v>34</v>
      </c>
      <c r="E111" t="s">
        <v>19</v>
      </c>
      <c r="F111" t="s">
        <v>358</v>
      </c>
    </row>
    <row r="112" spans="1:6" x14ac:dyDescent="0.35">
      <c r="A112" t="s">
        <v>470</v>
      </c>
      <c r="B112" t="s">
        <v>126</v>
      </c>
      <c r="C112" s="2">
        <v>46123</v>
      </c>
      <c r="D112" t="s">
        <v>34</v>
      </c>
      <c r="E112" t="s">
        <v>19</v>
      </c>
      <c r="F112" t="s">
        <v>362</v>
      </c>
    </row>
    <row r="113" spans="1:6" x14ac:dyDescent="0.35">
      <c r="A113" t="s">
        <v>471</v>
      </c>
      <c r="B113" t="s">
        <v>292</v>
      </c>
      <c r="C113" s="2">
        <v>46024</v>
      </c>
      <c r="D113" t="s">
        <v>46</v>
      </c>
      <c r="E113" t="s">
        <v>19</v>
      </c>
      <c r="F113" t="s">
        <v>358</v>
      </c>
    </row>
    <row r="114" spans="1:6" x14ac:dyDescent="0.35">
      <c r="A114" t="s">
        <v>472</v>
      </c>
      <c r="B114" t="s">
        <v>306</v>
      </c>
      <c r="C114" s="2">
        <v>46175</v>
      </c>
      <c r="D114" t="s">
        <v>46</v>
      </c>
      <c r="E114" t="s">
        <v>19</v>
      </c>
      <c r="F114" t="s">
        <v>362</v>
      </c>
    </row>
    <row r="115" spans="1:6" x14ac:dyDescent="0.35">
      <c r="A115" t="s">
        <v>473</v>
      </c>
      <c r="B115" t="s">
        <v>138</v>
      </c>
      <c r="C115" s="2">
        <v>46246</v>
      </c>
      <c r="D115" t="s">
        <v>17</v>
      </c>
      <c r="E115" t="s">
        <v>23</v>
      </c>
      <c r="F115" t="s">
        <v>360</v>
      </c>
    </row>
    <row r="116" spans="1:6" x14ac:dyDescent="0.35">
      <c r="A116" t="s">
        <v>474</v>
      </c>
      <c r="B116" t="s">
        <v>81</v>
      </c>
      <c r="C116" s="2">
        <v>46111</v>
      </c>
      <c r="D116" t="s">
        <v>28</v>
      </c>
      <c r="E116" t="s">
        <v>14</v>
      </c>
      <c r="F116" t="s">
        <v>360</v>
      </c>
    </row>
    <row r="117" spans="1:6" x14ac:dyDescent="0.35">
      <c r="A117" t="s">
        <v>475</v>
      </c>
      <c r="B117" t="s">
        <v>147</v>
      </c>
      <c r="C117" s="2">
        <v>46216</v>
      </c>
      <c r="D117" t="s">
        <v>46</v>
      </c>
      <c r="E117" t="s">
        <v>14</v>
      </c>
      <c r="F117" t="s">
        <v>360</v>
      </c>
    </row>
    <row r="118" spans="1:6" x14ac:dyDescent="0.35">
      <c r="A118" t="s">
        <v>476</v>
      </c>
      <c r="B118" t="s">
        <v>144</v>
      </c>
      <c r="C118" s="2">
        <v>46061</v>
      </c>
      <c r="D118" t="s">
        <v>28</v>
      </c>
      <c r="E118" t="s">
        <v>19</v>
      </c>
      <c r="F118" t="s">
        <v>362</v>
      </c>
    </row>
    <row r="119" spans="1:6" x14ac:dyDescent="0.35">
      <c r="A119" t="s">
        <v>477</v>
      </c>
      <c r="B119" t="s">
        <v>163</v>
      </c>
      <c r="C119" s="2">
        <v>46140</v>
      </c>
      <c r="D119" t="s">
        <v>28</v>
      </c>
      <c r="E119" t="s">
        <v>14</v>
      </c>
      <c r="F119" t="s">
        <v>360</v>
      </c>
    </row>
    <row r="120" spans="1:6" x14ac:dyDescent="0.35">
      <c r="A120" t="s">
        <v>478</v>
      </c>
      <c r="B120" t="s">
        <v>168</v>
      </c>
      <c r="C120" s="2">
        <v>46151</v>
      </c>
      <c r="D120" t="s">
        <v>10</v>
      </c>
      <c r="E120" t="s">
        <v>14</v>
      </c>
      <c r="F120" t="s">
        <v>360</v>
      </c>
    </row>
    <row r="121" spans="1:6" x14ac:dyDescent="0.35">
      <c r="A121" t="s">
        <v>479</v>
      </c>
      <c r="B121" t="s">
        <v>323</v>
      </c>
      <c r="C121" s="2">
        <v>46015</v>
      </c>
      <c r="D121" t="s">
        <v>17</v>
      </c>
      <c r="E121" t="s">
        <v>19</v>
      </c>
      <c r="F121" t="s">
        <v>358</v>
      </c>
    </row>
    <row r="122" spans="1:6" x14ac:dyDescent="0.35">
      <c r="A122" t="s">
        <v>480</v>
      </c>
      <c r="B122" t="s">
        <v>114</v>
      </c>
      <c r="C122" s="2">
        <v>46026</v>
      </c>
      <c r="D122" t="s">
        <v>46</v>
      </c>
      <c r="E122" t="s">
        <v>19</v>
      </c>
      <c r="F122" t="s">
        <v>358</v>
      </c>
    </row>
    <row r="123" spans="1:6" x14ac:dyDescent="0.35">
      <c r="A123" t="s">
        <v>481</v>
      </c>
      <c r="B123" t="s">
        <v>199</v>
      </c>
      <c r="C123" s="2">
        <v>45990</v>
      </c>
      <c r="D123" t="s">
        <v>46</v>
      </c>
      <c r="E123" t="s">
        <v>19</v>
      </c>
      <c r="F123" t="s">
        <v>358</v>
      </c>
    </row>
    <row r="124" spans="1:6" x14ac:dyDescent="0.35">
      <c r="A124" t="s">
        <v>482</v>
      </c>
      <c r="B124" t="s">
        <v>123</v>
      </c>
      <c r="C124" s="2">
        <v>46220</v>
      </c>
      <c r="D124" t="s">
        <v>17</v>
      </c>
      <c r="E124" t="s">
        <v>19</v>
      </c>
      <c r="F124" t="s">
        <v>358</v>
      </c>
    </row>
    <row r="125" spans="1:6" x14ac:dyDescent="0.35">
      <c r="A125" t="s">
        <v>483</v>
      </c>
      <c r="B125" t="s">
        <v>193</v>
      </c>
      <c r="C125" s="2">
        <v>46187</v>
      </c>
      <c r="D125" t="s">
        <v>46</v>
      </c>
      <c r="E125" t="s">
        <v>23</v>
      </c>
      <c r="F125" t="s">
        <v>360</v>
      </c>
    </row>
    <row r="126" spans="1:6" x14ac:dyDescent="0.35">
      <c r="A126" t="s">
        <v>484</v>
      </c>
      <c r="B126" t="s">
        <v>241</v>
      </c>
      <c r="C126" s="2">
        <v>46098</v>
      </c>
      <c r="D126" t="s">
        <v>10</v>
      </c>
      <c r="E126" t="s">
        <v>19</v>
      </c>
      <c r="F126" t="s">
        <v>360</v>
      </c>
    </row>
    <row r="127" spans="1:6" x14ac:dyDescent="0.35">
      <c r="A127" t="s">
        <v>485</v>
      </c>
      <c r="B127" t="s">
        <v>209</v>
      </c>
      <c r="C127" s="2">
        <v>46141</v>
      </c>
      <c r="D127" t="s">
        <v>10</v>
      </c>
      <c r="E127" t="s">
        <v>14</v>
      </c>
      <c r="F127" t="s">
        <v>360</v>
      </c>
    </row>
    <row r="128" spans="1:6" x14ac:dyDescent="0.35">
      <c r="A128" t="s">
        <v>486</v>
      </c>
      <c r="B128" t="s">
        <v>255</v>
      </c>
      <c r="C128" s="2">
        <v>46119</v>
      </c>
      <c r="D128" t="s">
        <v>30</v>
      </c>
      <c r="E128" t="s">
        <v>14</v>
      </c>
      <c r="F128" t="s">
        <v>360</v>
      </c>
    </row>
    <row r="129" spans="1:6" x14ac:dyDescent="0.35">
      <c r="A129" t="s">
        <v>487</v>
      </c>
      <c r="B129" t="s">
        <v>211</v>
      </c>
      <c r="C129" s="2">
        <v>46174</v>
      </c>
      <c r="D129" t="s">
        <v>34</v>
      </c>
      <c r="E129" t="s">
        <v>19</v>
      </c>
      <c r="F129" t="s">
        <v>358</v>
      </c>
    </row>
    <row r="130" spans="1:6" x14ac:dyDescent="0.35">
      <c r="A130" t="s">
        <v>488</v>
      </c>
      <c r="B130" t="s">
        <v>160</v>
      </c>
      <c r="C130" s="2">
        <v>46172</v>
      </c>
      <c r="D130" t="s">
        <v>17</v>
      </c>
      <c r="E130" t="s">
        <v>19</v>
      </c>
      <c r="F130" t="s">
        <v>358</v>
      </c>
    </row>
    <row r="131" spans="1:6" x14ac:dyDescent="0.35">
      <c r="A131" t="s">
        <v>489</v>
      </c>
      <c r="B131" t="s">
        <v>48</v>
      </c>
      <c r="C131" s="2">
        <v>46230</v>
      </c>
      <c r="D131" t="s">
        <v>28</v>
      </c>
      <c r="E131" t="s">
        <v>19</v>
      </c>
      <c r="F131" t="s">
        <v>362</v>
      </c>
    </row>
    <row r="132" spans="1:6" x14ac:dyDescent="0.35">
      <c r="A132" t="s">
        <v>490</v>
      </c>
      <c r="B132" t="s">
        <v>199</v>
      </c>
      <c r="C132" s="2">
        <v>46133</v>
      </c>
      <c r="D132" t="s">
        <v>46</v>
      </c>
      <c r="E132" t="s">
        <v>14</v>
      </c>
      <c r="F132" t="s">
        <v>360</v>
      </c>
    </row>
    <row r="133" spans="1:6" x14ac:dyDescent="0.35">
      <c r="A133" t="s">
        <v>491</v>
      </c>
      <c r="B133" t="s">
        <v>226</v>
      </c>
      <c r="C133" s="2">
        <v>46104</v>
      </c>
      <c r="D133" t="s">
        <v>34</v>
      </c>
      <c r="E133" t="s">
        <v>14</v>
      </c>
      <c r="F133" t="s">
        <v>360</v>
      </c>
    </row>
    <row r="134" spans="1:6" x14ac:dyDescent="0.35">
      <c r="A134" t="s">
        <v>492</v>
      </c>
      <c r="B134" t="s">
        <v>49</v>
      </c>
      <c r="C134" s="2">
        <v>46038</v>
      </c>
      <c r="D134" t="s">
        <v>10</v>
      </c>
      <c r="E134" t="s">
        <v>19</v>
      </c>
      <c r="F134" t="s">
        <v>362</v>
      </c>
    </row>
    <row r="135" spans="1:6" x14ac:dyDescent="0.35">
      <c r="A135" t="s">
        <v>493</v>
      </c>
      <c r="B135" t="s">
        <v>9</v>
      </c>
      <c r="C135" s="2">
        <v>46008</v>
      </c>
      <c r="D135" t="s">
        <v>46</v>
      </c>
      <c r="E135" t="s">
        <v>14</v>
      </c>
      <c r="F135" t="s">
        <v>360</v>
      </c>
    </row>
    <row r="136" spans="1:6" x14ac:dyDescent="0.35">
      <c r="A136" t="s">
        <v>494</v>
      </c>
      <c r="B136" t="s">
        <v>189</v>
      </c>
      <c r="C136" s="2">
        <v>45970</v>
      </c>
      <c r="D136" t="s">
        <v>30</v>
      </c>
      <c r="E136" t="s">
        <v>19</v>
      </c>
      <c r="F136" t="s">
        <v>358</v>
      </c>
    </row>
    <row r="137" spans="1:6" x14ac:dyDescent="0.35">
      <c r="A137" t="s">
        <v>495</v>
      </c>
      <c r="B137" t="s">
        <v>53</v>
      </c>
      <c r="C137" s="2">
        <v>46177</v>
      </c>
      <c r="D137" t="s">
        <v>46</v>
      </c>
      <c r="E137" t="s">
        <v>19</v>
      </c>
      <c r="F137" t="s">
        <v>360</v>
      </c>
    </row>
    <row r="138" spans="1:6" x14ac:dyDescent="0.35">
      <c r="A138" t="s">
        <v>496</v>
      </c>
      <c r="B138" t="s">
        <v>282</v>
      </c>
      <c r="C138" s="2">
        <v>46134</v>
      </c>
      <c r="D138" t="s">
        <v>34</v>
      </c>
      <c r="E138" t="s">
        <v>14</v>
      </c>
      <c r="F138" t="s">
        <v>360</v>
      </c>
    </row>
    <row r="139" spans="1:6" x14ac:dyDescent="0.35">
      <c r="A139" t="s">
        <v>497</v>
      </c>
      <c r="B139" t="s">
        <v>281</v>
      </c>
      <c r="C139" s="2">
        <v>46037</v>
      </c>
      <c r="D139" t="s">
        <v>10</v>
      </c>
      <c r="E139" t="s">
        <v>14</v>
      </c>
      <c r="F139" t="s">
        <v>360</v>
      </c>
    </row>
    <row r="140" spans="1:6" x14ac:dyDescent="0.35">
      <c r="A140" t="s">
        <v>498</v>
      </c>
      <c r="B140" t="s">
        <v>312</v>
      </c>
      <c r="C140" s="2">
        <v>46173</v>
      </c>
      <c r="D140" t="s">
        <v>10</v>
      </c>
      <c r="E140" t="s">
        <v>19</v>
      </c>
      <c r="F140" t="s">
        <v>360</v>
      </c>
    </row>
    <row r="141" spans="1:6" x14ac:dyDescent="0.35">
      <c r="A141" t="s">
        <v>499</v>
      </c>
      <c r="B141" t="s">
        <v>325</v>
      </c>
      <c r="C141" s="2">
        <v>46088</v>
      </c>
      <c r="D141" t="s">
        <v>10</v>
      </c>
      <c r="E141" t="s">
        <v>14</v>
      </c>
      <c r="F141" t="s">
        <v>360</v>
      </c>
    </row>
    <row r="142" spans="1:6" x14ac:dyDescent="0.35">
      <c r="A142" t="s">
        <v>500</v>
      </c>
      <c r="B142" t="s">
        <v>322</v>
      </c>
      <c r="C142" s="2">
        <v>46204</v>
      </c>
      <c r="D142" t="s">
        <v>28</v>
      </c>
      <c r="E142" t="s">
        <v>14</v>
      </c>
      <c r="F142" t="s">
        <v>360</v>
      </c>
    </row>
    <row r="143" spans="1:6" x14ac:dyDescent="0.35">
      <c r="A143" t="s">
        <v>501</v>
      </c>
      <c r="B143" t="s">
        <v>163</v>
      </c>
      <c r="C143" s="2">
        <v>46115</v>
      </c>
      <c r="D143" t="s">
        <v>28</v>
      </c>
      <c r="E143" t="s">
        <v>19</v>
      </c>
      <c r="F143" t="s">
        <v>362</v>
      </c>
    </row>
    <row r="144" spans="1:6" x14ac:dyDescent="0.35">
      <c r="A144" t="s">
        <v>502</v>
      </c>
      <c r="B144" t="s">
        <v>36</v>
      </c>
      <c r="C144" s="2">
        <v>46142</v>
      </c>
      <c r="D144" t="s">
        <v>46</v>
      </c>
      <c r="E144" t="s">
        <v>19</v>
      </c>
      <c r="F144" t="s">
        <v>358</v>
      </c>
    </row>
    <row r="145" spans="1:6" x14ac:dyDescent="0.35">
      <c r="A145" t="s">
        <v>503</v>
      </c>
      <c r="B145" t="s">
        <v>286</v>
      </c>
      <c r="C145" s="2">
        <v>45998</v>
      </c>
      <c r="D145" t="s">
        <v>46</v>
      </c>
      <c r="E145" t="s">
        <v>19</v>
      </c>
      <c r="F145" t="s">
        <v>358</v>
      </c>
    </row>
    <row r="146" spans="1:6" x14ac:dyDescent="0.35">
      <c r="A146" t="s">
        <v>504</v>
      </c>
      <c r="B146" t="s">
        <v>161</v>
      </c>
      <c r="C146" s="2">
        <v>46051</v>
      </c>
      <c r="D146" t="s">
        <v>28</v>
      </c>
      <c r="E146" t="s">
        <v>19</v>
      </c>
      <c r="F146" t="s">
        <v>358</v>
      </c>
    </row>
    <row r="147" spans="1:6" x14ac:dyDescent="0.35">
      <c r="A147" t="s">
        <v>505</v>
      </c>
      <c r="B147" t="s">
        <v>207</v>
      </c>
      <c r="C147" s="2">
        <v>46120</v>
      </c>
      <c r="D147" t="s">
        <v>30</v>
      </c>
      <c r="E147" t="s">
        <v>14</v>
      </c>
      <c r="F147" t="s">
        <v>360</v>
      </c>
    </row>
    <row r="148" spans="1:6" x14ac:dyDescent="0.35">
      <c r="A148" t="s">
        <v>506</v>
      </c>
      <c r="B148" t="s">
        <v>87</v>
      </c>
      <c r="C148" s="2">
        <v>46259</v>
      </c>
      <c r="D148" t="s">
        <v>17</v>
      </c>
      <c r="E148" t="s">
        <v>23</v>
      </c>
      <c r="F148" t="s">
        <v>360</v>
      </c>
    </row>
    <row r="149" spans="1:6" x14ac:dyDescent="0.35">
      <c r="A149" t="s">
        <v>507</v>
      </c>
      <c r="B149" t="s">
        <v>313</v>
      </c>
      <c r="C149" s="2">
        <v>46086</v>
      </c>
      <c r="D149" t="s">
        <v>10</v>
      </c>
      <c r="E149" t="s">
        <v>19</v>
      </c>
      <c r="F149" t="s">
        <v>358</v>
      </c>
    </row>
    <row r="150" spans="1:6" x14ac:dyDescent="0.35">
      <c r="A150" t="s">
        <v>508</v>
      </c>
      <c r="B150" t="s">
        <v>105</v>
      </c>
      <c r="C150" s="2">
        <v>46029</v>
      </c>
      <c r="D150" t="s">
        <v>28</v>
      </c>
      <c r="E150" t="s">
        <v>14</v>
      </c>
      <c r="F150" t="s">
        <v>360</v>
      </c>
    </row>
    <row r="151" spans="1:6" x14ac:dyDescent="0.35">
      <c r="A151" t="s">
        <v>509</v>
      </c>
      <c r="B151" t="s">
        <v>41</v>
      </c>
      <c r="C151" s="2">
        <v>46191</v>
      </c>
      <c r="D151" t="s">
        <v>28</v>
      </c>
      <c r="E151" t="s">
        <v>19</v>
      </c>
      <c r="F151" t="s">
        <v>358</v>
      </c>
    </row>
    <row r="152" spans="1:6" x14ac:dyDescent="0.35">
      <c r="A152" t="s">
        <v>510</v>
      </c>
      <c r="B152" t="s">
        <v>158</v>
      </c>
      <c r="C152" s="2">
        <v>45965</v>
      </c>
      <c r="D152" t="s">
        <v>34</v>
      </c>
      <c r="E152" t="s">
        <v>19</v>
      </c>
      <c r="F152" t="s">
        <v>360</v>
      </c>
    </row>
    <row r="153" spans="1:6" x14ac:dyDescent="0.35">
      <c r="A153" t="s">
        <v>511</v>
      </c>
      <c r="B153" t="s">
        <v>213</v>
      </c>
      <c r="C153" s="2">
        <v>46316</v>
      </c>
      <c r="D153" t="s">
        <v>30</v>
      </c>
      <c r="E153" t="s">
        <v>23</v>
      </c>
      <c r="F153" t="s">
        <v>360</v>
      </c>
    </row>
    <row r="154" spans="1:6" x14ac:dyDescent="0.35">
      <c r="A154" t="s">
        <v>512</v>
      </c>
      <c r="B154" t="s">
        <v>289</v>
      </c>
      <c r="C154" s="2">
        <v>45988</v>
      </c>
      <c r="D154" t="s">
        <v>28</v>
      </c>
      <c r="E154" t="s">
        <v>19</v>
      </c>
      <c r="F154" t="s">
        <v>358</v>
      </c>
    </row>
    <row r="155" spans="1:6" x14ac:dyDescent="0.35">
      <c r="A155" t="s">
        <v>513</v>
      </c>
      <c r="B155" t="s">
        <v>36</v>
      </c>
      <c r="C155" s="2">
        <v>46080</v>
      </c>
      <c r="D155" t="s">
        <v>10</v>
      </c>
      <c r="E155" t="s">
        <v>23</v>
      </c>
      <c r="F155" t="s">
        <v>360</v>
      </c>
    </row>
    <row r="156" spans="1:6" x14ac:dyDescent="0.35">
      <c r="A156" t="s">
        <v>514</v>
      </c>
      <c r="B156" t="s">
        <v>295</v>
      </c>
      <c r="C156" s="2">
        <v>45989</v>
      </c>
      <c r="D156" t="s">
        <v>10</v>
      </c>
      <c r="E156" t="s">
        <v>14</v>
      </c>
      <c r="F156" t="s">
        <v>360</v>
      </c>
    </row>
    <row r="157" spans="1:6" x14ac:dyDescent="0.35">
      <c r="A157" t="s">
        <v>515</v>
      </c>
      <c r="B157" t="s">
        <v>117</v>
      </c>
      <c r="C157" s="2">
        <v>46309</v>
      </c>
      <c r="D157" t="s">
        <v>34</v>
      </c>
      <c r="E157" t="s">
        <v>14</v>
      </c>
      <c r="F157" t="s">
        <v>360</v>
      </c>
    </row>
    <row r="158" spans="1:6" x14ac:dyDescent="0.35">
      <c r="A158" t="s">
        <v>516</v>
      </c>
      <c r="B158" t="s">
        <v>52</v>
      </c>
      <c r="C158" s="2">
        <v>46237</v>
      </c>
      <c r="D158" t="s">
        <v>34</v>
      </c>
      <c r="E158" t="s">
        <v>23</v>
      </c>
      <c r="F158" t="s">
        <v>360</v>
      </c>
    </row>
    <row r="159" spans="1:6" x14ac:dyDescent="0.35">
      <c r="A159" t="s">
        <v>517</v>
      </c>
      <c r="B159" t="s">
        <v>323</v>
      </c>
      <c r="C159" s="2">
        <v>46077</v>
      </c>
      <c r="D159" t="s">
        <v>46</v>
      </c>
      <c r="E159" t="s">
        <v>23</v>
      </c>
      <c r="F159" t="s">
        <v>360</v>
      </c>
    </row>
    <row r="160" spans="1:6" x14ac:dyDescent="0.35">
      <c r="A160" t="s">
        <v>518</v>
      </c>
      <c r="B160" t="s">
        <v>107</v>
      </c>
      <c r="C160" s="2">
        <v>46122</v>
      </c>
      <c r="D160" t="s">
        <v>30</v>
      </c>
      <c r="E160" t="s">
        <v>14</v>
      </c>
      <c r="F160" t="s">
        <v>360</v>
      </c>
    </row>
    <row r="161" spans="1:6" x14ac:dyDescent="0.35">
      <c r="A161" t="s">
        <v>519</v>
      </c>
      <c r="B161" t="s">
        <v>180</v>
      </c>
      <c r="C161" s="2">
        <v>46218</v>
      </c>
      <c r="D161" t="s">
        <v>30</v>
      </c>
      <c r="E161" t="s">
        <v>23</v>
      </c>
      <c r="F161" t="s">
        <v>360</v>
      </c>
    </row>
    <row r="162" spans="1:6" x14ac:dyDescent="0.35">
      <c r="A162" t="s">
        <v>520</v>
      </c>
      <c r="B162" t="s">
        <v>333</v>
      </c>
      <c r="C162" s="2">
        <v>45964</v>
      </c>
      <c r="D162" t="s">
        <v>17</v>
      </c>
      <c r="E162" t="s">
        <v>14</v>
      </c>
      <c r="F162" t="s">
        <v>360</v>
      </c>
    </row>
    <row r="163" spans="1:6" x14ac:dyDescent="0.35">
      <c r="A163" t="s">
        <v>521</v>
      </c>
      <c r="B163" t="s">
        <v>261</v>
      </c>
      <c r="C163" s="2">
        <v>46100</v>
      </c>
      <c r="D163" t="s">
        <v>10</v>
      </c>
      <c r="E163" t="s">
        <v>14</v>
      </c>
      <c r="F163" t="s">
        <v>360</v>
      </c>
    </row>
    <row r="164" spans="1:6" x14ac:dyDescent="0.35">
      <c r="A164" t="s">
        <v>522</v>
      </c>
      <c r="B164" t="s">
        <v>274</v>
      </c>
      <c r="C164" s="2">
        <v>46044</v>
      </c>
      <c r="D164" t="s">
        <v>30</v>
      </c>
      <c r="E164" t="s">
        <v>14</v>
      </c>
      <c r="F164" t="s">
        <v>360</v>
      </c>
    </row>
    <row r="165" spans="1:6" x14ac:dyDescent="0.35">
      <c r="A165" t="s">
        <v>523</v>
      </c>
      <c r="B165" t="s">
        <v>52</v>
      </c>
      <c r="C165" s="2">
        <v>46096</v>
      </c>
      <c r="D165" t="s">
        <v>46</v>
      </c>
      <c r="E165" t="s">
        <v>19</v>
      </c>
      <c r="F165" t="s">
        <v>358</v>
      </c>
    </row>
    <row r="166" spans="1:6" x14ac:dyDescent="0.35">
      <c r="A166" t="s">
        <v>524</v>
      </c>
      <c r="B166" t="s">
        <v>73</v>
      </c>
      <c r="C166" s="2">
        <v>46178</v>
      </c>
      <c r="D166" t="s">
        <v>28</v>
      </c>
      <c r="E166" t="s">
        <v>19</v>
      </c>
      <c r="F166" t="s">
        <v>358</v>
      </c>
    </row>
    <row r="167" spans="1:6" x14ac:dyDescent="0.35">
      <c r="A167" t="s">
        <v>525</v>
      </c>
      <c r="B167" t="s">
        <v>258</v>
      </c>
      <c r="C167" s="2">
        <v>46109</v>
      </c>
      <c r="D167" t="s">
        <v>46</v>
      </c>
      <c r="E167" t="s">
        <v>14</v>
      </c>
      <c r="F167" t="s">
        <v>360</v>
      </c>
    </row>
    <row r="168" spans="1:6" x14ac:dyDescent="0.35">
      <c r="A168" t="s">
        <v>526</v>
      </c>
      <c r="B168" t="s">
        <v>110</v>
      </c>
      <c r="C168" s="2">
        <v>46216</v>
      </c>
      <c r="D168" t="s">
        <v>17</v>
      </c>
      <c r="E168" t="s">
        <v>14</v>
      </c>
      <c r="F168" t="s">
        <v>360</v>
      </c>
    </row>
    <row r="169" spans="1:6" x14ac:dyDescent="0.35">
      <c r="A169" t="s">
        <v>527</v>
      </c>
      <c r="B169" t="s">
        <v>266</v>
      </c>
      <c r="C169" s="2">
        <v>46017</v>
      </c>
      <c r="D169" t="s">
        <v>34</v>
      </c>
      <c r="E169" t="s">
        <v>19</v>
      </c>
      <c r="F169" t="s">
        <v>362</v>
      </c>
    </row>
    <row r="170" spans="1:6" x14ac:dyDescent="0.35">
      <c r="A170" t="s">
        <v>528</v>
      </c>
      <c r="B170" t="s">
        <v>107</v>
      </c>
      <c r="C170" s="2">
        <v>46070</v>
      </c>
      <c r="D170" t="s">
        <v>17</v>
      </c>
      <c r="E170" t="s">
        <v>19</v>
      </c>
      <c r="F170" t="s">
        <v>358</v>
      </c>
    </row>
    <row r="171" spans="1:6" x14ac:dyDescent="0.35">
      <c r="A171" t="s">
        <v>529</v>
      </c>
      <c r="B171" t="s">
        <v>327</v>
      </c>
      <c r="C171" s="2">
        <v>46286</v>
      </c>
      <c r="D171" t="s">
        <v>34</v>
      </c>
      <c r="E171" t="s">
        <v>19</v>
      </c>
      <c r="F171" t="s">
        <v>362</v>
      </c>
    </row>
    <row r="172" spans="1:6" x14ac:dyDescent="0.35">
      <c r="A172" t="s">
        <v>530</v>
      </c>
      <c r="B172" t="s">
        <v>144</v>
      </c>
      <c r="C172" s="2">
        <v>46233</v>
      </c>
      <c r="D172" t="s">
        <v>10</v>
      </c>
      <c r="E172" t="s">
        <v>14</v>
      </c>
      <c r="F172" t="s">
        <v>360</v>
      </c>
    </row>
    <row r="173" spans="1:6" x14ac:dyDescent="0.35">
      <c r="A173" t="s">
        <v>531</v>
      </c>
      <c r="B173" t="s">
        <v>86</v>
      </c>
      <c r="C173" s="2">
        <v>46043</v>
      </c>
      <c r="D173" t="s">
        <v>17</v>
      </c>
      <c r="E173" t="s">
        <v>19</v>
      </c>
      <c r="F173" t="s">
        <v>360</v>
      </c>
    </row>
    <row r="174" spans="1:6" x14ac:dyDescent="0.35">
      <c r="A174" t="s">
        <v>532</v>
      </c>
      <c r="B174" t="s">
        <v>336</v>
      </c>
      <c r="C174" s="2">
        <v>45968</v>
      </c>
      <c r="D174" t="s">
        <v>30</v>
      </c>
      <c r="E174" t="s">
        <v>19</v>
      </c>
      <c r="F174" t="s">
        <v>358</v>
      </c>
    </row>
    <row r="175" spans="1:6" x14ac:dyDescent="0.35">
      <c r="A175" t="s">
        <v>533</v>
      </c>
      <c r="B175" t="s">
        <v>83</v>
      </c>
      <c r="C175" s="2">
        <v>46203</v>
      </c>
      <c r="D175" t="s">
        <v>10</v>
      </c>
      <c r="E175" t="s">
        <v>19</v>
      </c>
      <c r="F175" t="s">
        <v>360</v>
      </c>
    </row>
    <row r="176" spans="1:6" x14ac:dyDescent="0.35">
      <c r="A176" t="s">
        <v>534</v>
      </c>
      <c r="B176" t="s">
        <v>285</v>
      </c>
      <c r="C176" s="2">
        <v>46118</v>
      </c>
      <c r="D176" t="s">
        <v>46</v>
      </c>
      <c r="E176" t="s">
        <v>19</v>
      </c>
      <c r="F176" t="s">
        <v>358</v>
      </c>
    </row>
    <row r="177" spans="1:6" x14ac:dyDescent="0.35">
      <c r="A177" t="s">
        <v>535</v>
      </c>
      <c r="B177" t="s">
        <v>328</v>
      </c>
      <c r="C177" s="2">
        <v>46277</v>
      </c>
      <c r="D177" t="s">
        <v>17</v>
      </c>
      <c r="E177" t="s">
        <v>14</v>
      </c>
      <c r="F177" t="s">
        <v>360</v>
      </c>
    </row>
    <row r="178" spans="1:6" x14ac:dyDescent="0.35">
      <c r="A178" t="s">
        <v>536</v>
      </c>
      <c r="B178" t="s">
        <v>187</v>
      </c>
      <c r="C178" s="2">
        <v>46157</v>
      </c>
      <c r="D178" t="s">
        <v>28</v>
      </c>
      <c r="E178" t="s">
        <v>14</v>
      </c>
      <c r="F178" t="s">
        <v>360</v>
      </c>
    </row>
    <row r="179" spans="1:6" x14ac:dyDescent="0.35">
      <c r="A179" t="s">
        <v>537</v>
      </c>
      <c r="B179" t="s">
        <v>249</v>
      </c>
      <c r="C179" s="2">
        <v>46252</v>
      </c>
      <c r="D179" t="s">
        <v>46</v>
      </c>
      <c r="E179" t="s">
        <v>23</v>
      </c>
      <c r="F179" t="s">
        <v>360</v>
      </c>
    </row>
    <row r="180" spans="1:6" x14ac:dyDescent="0.35">
      <c r="A180" t="s">
        <v>538</v>
      </c>
      <c r="B180" t="s">
        <v>231</v>
      </c>
      <c r="C180" s="2">
        <v>46107</v>
      </c>
      <c r="D180" t="s">
        <v>17</v>
      </c>
      <c r="E180" t="s">
        <v>23</v>
      </c>
      <c r="F180" t="s">
        <v>360</v>
      </c>
    </row>
    <row r="181" spans="1:6" x14ac:dyDescent="0.35">
      <c r="A181" t="s">
        <v>539</v>
      </c>
      <c r="B181" t="s">
        <v>241</v>
      </c>
      <c r="C181" s="2">
        <v>46147</v>
      </c>
      <c r="D181" t="s">
        <v>34</v>
      </c>
      <c r="E181" t="s">
        <v>19</v>
      </c>
      <c r="F181" t="s"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5936E-9E52-46D5-8245-5ED887CED5FA}">
  <dimension ref="A1:E141"/>
  <sheetViews>
    <sheetView workbookViewId="0"/>
  </sheetViews>
  <sheetFormatPr defaultRowHeight="14.5" x14ac:dyDescent="0.35"/>
  <cols>
    <col min="1" max="1" width="8.1796875" bestFit="1" customWidth="1"/>
    <col min="2" max="2" width="11.26953125" bestFit="1" customWidth="1"/>
    <col min="3" max="3" width="10.54296875" bestFit="1" customWidth="1"/>
    <col min="4" max="4" width="11.7265625" bestFit="1" customWidth="1"/>
    <col min="5" max="5" width="13.08984375" bestFit="1" customWidth="1"/>
  </cols>
  <sheetData>
    <row r="1" spans="1:5" x14ac:dyDescent="0.35">
      <c r="A1" s="1" t="s">
        <v>540</v>
      </c>
      <c r="B1" s="1" t="s">
        <v>541</v>
      </c>
      <c r="C1" s="1" t="s">
        <v>2</v>
      </c>
      <c r="D1" s="1" t="s">
        <v>542</v>
      </c>
      <c r="E1" s="1" t="s">
        <v>543</v>
      </c>
    </row>
    <row r="2" spans="1:5" x14ac:dyDescent="0.35">
      <c r="A2" t="s">
        <v>544</v>
      </c>
      <c r="B2" t="s">
        <v>545</v>
      </c>
      <c r="C2" t="s">
        <v>34</v>
      </c>
      <c r="D2" s="2">
        <v>46001</v>
      </c>
      <c r="E2" t="s">
        <v>23</v>
      </c>
    </row>
    <row r="3" spans="1:5" x14ac:dyDescent="0.35">
      <c r="A3" t="s">
        <v>546</v>
      </c>
      <c r="B3" t="s">
        <v>545</v>
      </c>
      <c r="C3" t="s">
        <v>28</v>
      </c>
      <c r="D3" s="2">
        <v>45996</v>
      </c>
      <c r="E3" t="s">
        <v>23</v>
      </c>
    </row>
    <row r="4" spans="1:5" x14ac:dyDescent="0.35">
      <c r="A4" t="s">
        <v>547</v>
      </c>
      <c r="B4" t="s">
        <v>548</v>
      </c>
      <c r="C4" t="s">
        <v>46</v>
      </c>
      <c r="D4" s="2">
        <v>45989</v>
      </c>
      <c r="E4" t="s">
        <v>23</v>
      </c>
    </row>
    <row r="5" spans="1:5" x14ac:dyDescent="0.35">
      <c r="A5" t="s">
        <v>549</v>
      </c>
      <c r="B5" t="s">
        <v>545</v>
      </c>
      <c r="C5" t="s">
        <v>10</v>
      </c>
      <c r="D5" s="2">
        <v>46313</v>
      </c>
      <c r="E5" t="s">
        <v>360</v>
      </c>
    </row>
    <row r="6" spans="1:5" x14ac:dyDescent="0.35">
      <c r="A6" t="s">
        <v>550</v>
      </c>
      <c r="B6" t="s">
        <v>551</v>
      </c>
      <c r="C6" t="s">
        <v>34</v>
      </c>
      <c r="D6" s="2">
        <v>46040</v>
      </c>
      <c r="E6" t="s">
        <v>552</v>
      </c>
    </row>
    <row r="7" spans="1:5" x14ac:dyDescent="0.35">
      <c r="A7" t="s">
        <v>553</v>
      </c>
      <c r="B7" t="s">
        <v>548</v>
      </c>
      <c r="C7" t="s">
        <v>28</v>
      </c>
      <c r="D7" s="2">
        <v>46234</v>
      </c>
      <c r="E7" t="s">
        <v>360</v>
      </c>
    </row>
    <row r="8" spans="1:5" x14ac:dyDescent="0.35">
      <c r="A8" t="s">
        <v>554</v>
      </c>
      <c r="B8" t="s">
        <v>555</v>
      </c>
      <c r="C8" t="s">
        <v>30</v>
      </c>
      <c r="D8" s="2">
        <v>46201</v>
      </c>
      <c r="E8" t="s">
        <v>552</v>
      </c>
    </row>
    <row r="9" spans="1:5" x14ac:dyDescent="0.35">
      <c r="A9" t="s">
        <v>556</v>
      </c>
      <c r="B9" t="s">
        <v>545</v>
      </c>
      <c r="C9" t="s">
        <v>17</v>
      </c>
      <c r="D9" s="2">
        <v>46237</v>
      </c>
      <c r="E9" t="s">
        <v>552</v>
      </c>
    </row>
    <row r="10" spans="1:5" x14ac:dyDescent="0.35">
      <c r="A10" t="s">
        <v>557</v>
      </c>
      <c r="B10" t="s">
        <v>545</v>
      </c>
      <c r="C10" t="s">
        <v>30</v>
      </c>
      <c r="D10" s="2">
        <v>46067</v>
      </c>
      <c r="E10" t="s">
        <v>552</v>
      </c>
    </row>
    <row r="11" spans="1:5" x14ac:dyDescent="0.35">
      <c r="A11" t="s">
        <v>558</v>
      </c>
      <c r="B11" t="s">
        <v>551</v>
      </c>
      <c r="C11" t="s">
        <v>28</v>
      </c>
      <c r="D11" s="2">
        <v>46120</v>
      </c>
      <c r="E11" t="s">
        <v>360</v>
      </c>
    </row>
    <row r="12" spans="1:5" x14ac:dyDescent="0.35">
      <c r="A12" t="s">
        <v>559</v>
      </c>
      <c r="B12" t="s">
        <v>545</v>
      </c>
      <c r="C12" t="s">
        <v>10</v>
      </c>
      <c r="D12" s="2">
        <v>46109</v>
      </c>
      <c r="E12" t="s">
        <v>23</v>
      </c>
    </row>
    <row r="13" spans="1:5" x14ac:dyDescent="0.35">
      <c r="A13" t="s">
        <v>560</v>
      </c>
      <c r="B13" t="s">
        <v>548</v>
      </c>
      <c r="C13" t="s">
        <v>17</v>
      </c>
      <c r="D13" s="2">
        <v>46288</v>
      </c>
      <c r="E13" t="s">
        <v>552</v>
      </c>
    </row>
    <row r="14" spans="1:5" x14ac:dyDescent="0.35">
      <c r="A14" t="s">
        <v>561</v>
      </c>
      <c r="B14" t="s">
        <v>548</v>
      </c>
      <c r="C14" t="s">
        <v>10</v>
      </c>
      <c r="D14" s="2">
        <v>46024</v>
      </c>
      <c r="E14" t="s">
        <v>360</v>
      </c>
    </row>
    <row r="15" spans="1:5" x14ac:dyDescent="0.35">
      <c r="A15" t="s">
        <v>562</v>
      </c>
      <c r="B15" t="s">
        <v>548</v>
      </c>
      <c r="C15" t="s">
        <v>46</v>
      </c>
      <c r="D15" s="2">
        <v>46249</v>
      </c>
      <c r="E15" t="s">
        <v>563</v>
      </c>
    </row>
    <row r="16" spans="1:5" x14ac:dyDescent="0.35">
      <c r="A16" t="s">
        <v>564</v>
      </c>
      <c r="B16" t="s">
        <v>548</v>
      </c>
      <c r="C16" t="s">
        <v>28</v>
      </c>
      <c r="D16" s="2">
        <v>45952</v>
      </c>
      <c r="E16" t="s">
        <v>563</v>
      </c>
    </row>
    <row r="17" spans="1:5" x14ac:dyDescent="0.35">
      <c r="A17" t="s">
        <v>565</v>
      </c>
      <c r="B17" t="s">
        <v>551</v>
      </c>
      <c r="C17" t="s">
        <v>17</v>
      </c>
      <c r="D17" s="2">
        <v>46218</v>
      </c>
      <c r="E17" t="s">
        <v>360</v>
      </c>
    </row>
    <row r="18" spans="1:5" x14ac:dyDescent="0.35">
      <c r="A18" t="s">
        <v>566</v>
      </c>
      <c r="B18" t="s">
        <v>551</v>
      </c>
      <c r="C18" t="s">
        <v>46</v>
      </c>
      <c r="D18" s="2">
        <v>46259</v>
      </c>
      <c r="E18" t="s">
        <v>552</v>
      </c>
    </row>
    <row r="19" spans="1:5" x14ac:dyDescent="0.35">
      <c r="A19" t="s">
        <v>567</v>
      </c>
      <c r="B19" t="s">
        <v>551</v>
      </c>
      <c r="C19" t="s">
        <v>10</v>
      </c>
      <c r="D19" s="2">
        <v>46093</v>
      </c>
      <c r="E19" t="s">
        <v>563</v>
      </c>
    </row>
    <row r="20" spans="1:5" x14ac:dyDescent="0.35">
      <c r="A20" t="s">
        <v>568</v>
      </c>
      <c r="B20" t="s">
        <v>545</v>
      </c>
      <c r="C20" t="s">
        <v>46</v>
      </c>
      <c r="D20" s="2">
        <v>46001</v>
      </c>
      <c r="E20" t="s">
        <v>552</v>
      </c>
    </row>
    <row r="21" spans="1:5" x14ac:dyDescent="0.35">
      <c r="A21" t="s">
        <v>569</v>
      </c>
      <c r="B21" t="s">
        <v>551</v>
      </c>
      <c r="C21" t="s">
        <v>10</v>
      </c>
      <c r="D21" s="2">
        <v>46048</v>
      </c>
      <c r="E21" t="s">
        <v>552</v>
      </c>
    </row>
    <row r="22" spans="1:5" x14ac:dyDescent="0.35">
      <c r="A22" t="s">
        <v>570</v>
      </c>
      <c r="B22" t="s">
        <v>555</v>
      </c>
      <c r="C22" t="s">
        <v>17</v>
      </c>
      <c r="D22" s="2">
        <v>46299</v>
      </c>
      <c r="E22" t="s">
        <v>552</v>
      </c>
    </row>
    <row r="23" spans="1:5" x14ac:dyDescent="0.35">
      <c r="A23" t="s">
        <v>571</v>
      </c>
      <c r="B23" t="s">
        <v>555</v>
      </c>
      <c r="C23" t="s">
        <v>17</v>
      </c>
      <c r="D23" s="2">
        <v>46250</v>
      </c>
      <c r="E23" t="s">
        <v>552</v>
      </c>
    </row>
    <row r="24" spans="1:5" x14ac:dyDescent="0.35">
      <c r="A24" t="s">
        <v>572</v>
      </c>
      <c r="B24" t="s">
        <v>551</v>
      </c>
      <c r="C24" t="s">
        <v>30</v>
      </c>
      <c r="D24" s="2">
        <v>46209</v>
      </c>
      <c r="E24" t="s">
        <v>360</v>
      </c>
    </row>
    <row r="25" spans="1:5" x14ac:dyDescent="0.35">
      <c r="A25" t="s">
        <v>573</v>
      </c>
      <c r="B25" t="s">
        <v>545</v>
      </c>
      <c r="C25" t="s">
        <v>34</v>
      </c>
      <c r="D25" s="2">
        <v>46163</v>
      </c>
      <c r="E25" t="s">
        <v>23</v>
      </c>
    </row>
    <row r="26" spans="1:5" x14ac:dyDescent="0.35">
      <c r="A26" t="s">
        <v>574</v>
      </c>
      <c r="B26" t="s">
        <v>551</v>
      </c>
      <c r="C26" t="s">
        <v>46</v>
      </c>
      <c r="D26" s="2">
        <v>46318</v>
      </c>
      <c r="E26" t="s">
        <v>360</v>
      </c>
    </row>
    <row r="27" spans="1:5" x14ac:dyDescent="0.35">
      <c r="A27" t="s">
        <v>575</v>
      </c>
      <c r="B27" t="s">
        <v>551</v>
      </c>
      <c r="C27" t="s">
        <v>46</v>
      </c>
      <c r="D27" s="2">
        <v>46316</v>
      </c>
      <c r="E27" t="s">
        <v>563</v>
      </c>
    </row>
    <row r="28" spans="1:5" x14ac:dyDescent="0.35">
      <c r="A28" t="s">
        <v>576</v>
      </c>
      <c r="B28" t="s">
        <v>548</v>
      </c>
      <c r="C28" t="s">
        <v>34</v>
      </c>
      <c r="D28" s="2">
        <v>46251</v>
      </c>
      <c r="E28" t="s">
        <v>23</v>
      </c>
    </row>
    <row r="29" spans="1:5" x14ac:dyDescent="0.35">
      <c r="A29" t="s">
        <v>577</v>
      </c>
      <c r="B29" t="s">
        <v>551</v>
      </c>
      <c r="C29" t="s">
        <v>17</v>
      </c>
      <c r="D29" s="2">
        <v>45975</v>
      </c>
      <c r="E29" t="s">
        <v>552</v>
      </c>
    </row>
    <row r="30" spans="1:5" x14ac:dyDescent="0.35">
      <c r="A30" t="s">
        <v>578</v>
      </c>
      <c r="B30" t="s">
        <v>551</v>
      </c>
      <c r="C30" t="s">
        <v>28</v>
      </c>
      <c r="D30" s="2">
        <v>46266</v>
      </c>
      <c r="E30" t="s">
        <v>23</v>
      </c>
    </row>
    <row r="31" spans="1:5" x14ac:dyDescent="0.35">
      <c r="A31" t="s">
        <v>579</v>
      </c>
      <c r="B31" t="s">
        <v>548</v>
      </c>
      <c r="C31" t="s">
        <v>10</v>
      </c>
      <c r="D31" s="2">
        <v>46076</v>
      </c>
      <c r="E31" t="s">
        <v>563</v>
      </c>
    </row>
    <row r="32" spans="1:5" x14ac:dyDescent="0.35">
      <c r="A32" t="s">
        <v>580</v>
      </c>
      <c r="B32" t="s">
        <v>548</v>
      </c>
      <c r="C32" t="s">
        <v>28</v>
      </c>
      <c r="D32" s="2">
        <v>46181</v>
      </c>
      <c r="E32" t="s">
        <v>552</v>
      </c>
    </row>
    <row r="33" spans="1:5" x14ac:dyDescent="0.35">
      <c r="A33" t="s">
        <v>581</v>
      </c>
      <c r="B33" t="s">
        <v>551</v>
      </c>
      <c r="C33" t="s">
        <v>46</v>
      </c>
      <c r="D33" s="2">
        <v>46114</v>
      </c>
      <c r="E33" t="s">
        <v>552</v>
      </c>
    </row>
    <row r="34" spans="1:5" x14ac:dyDescent="0.35">
      <c r="A34" t="s">
        <v>582</v>
      </c>
      <c r="B34" t="s">
        <v>545</v>
      </c>
      <c r="C34" t="s">
        <v>10</v>
      </c>
      <c r="D34" s="2">
        <v>45941</v>
      </c>
      <c r="E34" t="s">
        <v>552</v>
      </c>
    </row>
    <row r="35" spans="1:5" x14ac:dyDescent="0.35">
      <c r="A35" t="s">
        <v>583</v>
      </c>
      <c r="B35" t="s">
        <v>548</v>
      </c>
      <c r="C35" t="s">
        <v>10</v>
      </c>
      <c r="D35" s="2">
        <v>46179</v>
      </c>
      <c r="E35" t="s">
        <v>360</v>
      </c>
    </row>
    <row r="36" spans="1:5" x14ac:dyDescent="0.35">
      <c r="A36" t="s">
        <v>584</v>
      </c>
      <c r="B36" t="s">
        <v>545</v>
      </c>
      <c r="C36" t="s">
        <v>28</v>
      </c>
      <c r="D36" s="2">
        <v>46013</v>
      </c>
      <c r="E36" t="s">
        <v>552</v>
      </c>
    </row>
    <row r="37" spans="1:5" x14ac:dyDescent="0.35">
      <c r="A37" t="s">
        <v>585</v>
      </c>
      <c r="B37" t="s">
        <v>555</v>
      </c>
      <c r="C37" t="s">
        <v>10</v>
      </c>
      <c r="D37" s="2">
        <v>46260</v>
      </c>
      <c r="E37" t="s">
        <v>552</v>
      </c>
    </row>
    <row r="38" spans="1:5" x14ac:dyDescent="0.35">
      <c r="A38" t="s">
        <v>586</v>
      </c>
      <c r="B38" t="s">
        <v>545</v>
      </c>
      <c r="C38" t="s">
        <v>46</v>
      </c>
      <c r="D38" s="2">
        <v>46086</v>
      </c>
      <c r="E38" t="s">
        <v>552</v>
      </c>
    </row>
    <row r="39" spans="1:5" x14ac:dyDescent="0.35">
      <c r="A39" t="s">
        <v>587</v>
      </c>
      <c r="B39" t="s">
        <v>551</v>
      </c>
      <c r="C39" t="s">
        <v>10</v>
      </c>
      <c r="D39" s="2">
        <v>46008</v>
      </c>
      <c r="E39" t="s">
        <v>552</v>
      </c>
    </row>
    <row r="40" spans="1:5" x14ac:dyDescent="0.35">
      <c r="A40" t="s">
        <v>588</v>
      </c>
      <c r="B40" t="s">
        <v>551</v>
      </c>
      <c r="C40" t="s">
        <v>28</v>
      </c>
      <c r="D40" s="2">
        <v>46055</v>
      </c>
      <c r="E40" t="s">
        <v>552</v>
      </c>
    </row>
    <row r="41" spans="1:5" x14ac:dyDescent="0.35">
      <c r="A41" t="s">
        <v>589</v>
      </c>
      <c r="B41" t="s">
        <v>548</v>
      </c>
      <c r="C41" t="s">
        <v>17</v>
      </c>
      <c r="D41" s="2">
        <v>46046</v>
      </c>
      <c r="E41" t="s">
        <v>552</v>
      </c>
    </row>
    <row r="42" spans="1:5" x14ac:dyDescent="0.35">
      <c r="A42" t="s">
        <v>590</v>
      </c>
      <c r="B42" t="s">
        <v>545</v>
      </c>
      <c r="C42" t="s">
        <v>46</v>
      </c>
      <c r="D42" s="2">
        <v>46320</v>
      </c>
      <c r="E42" t="s">
        <v>552</v>
      </c>
    </row>
    <row r="43" spans="1:5" x14ac:dyDescent="0.35">
      <c r="A43" t="s">
        <v>591</v>
      </c>
      <c r="B43" t="s">
        <v>548</v>
      </c>
      <c r="C43" t="s">
        <v>46</v>
      </c>
      <c r="D43" s="2">
        <v>46265</v>
      </c>
      <c r="E43" t="s">
        <v>552</v>
      </c>
    </row>
    <row r="44" spans="1:5" x14ac:dyDescent="0.35">
      <c r="A44" t="s">
        <v>592</v>
      </c>
      <c r="B44" t="s">
        <v>555</v>
      </c>
      <c r="C44" t="s">
        <v>10</v>
      </c>
      <c r="D44" s="2">
        <v>46153</v>
      </c>
      <c r="E44" t="s">
        <v>552</v>
      </c>
    </row>
    <row r="45" spans="1:5" x14ac:dyDescent="0.35">
      <c r="A45" t="s">
        <v>593</v>
      </c>
      <c r="B45" t="s">
        <v>545</v>
      </c>
      <c r="C45" t="s">
        <v>10</v>
      </c>
      <c r="D45" s="2">
        <v>46330</v>
      </c>
      <c r="E45" t="s">
        <v>552</v>
      </c>
    </row>
    <row r="46" spans="1:5" x14ac:dyDescent="0.35">
      <c r="A46" t="s">
        <v>594</v>
      </c>
      <c r="B46" t="s">
        <v>548</v>
      </c>
      <c r="C46" t="s">
        <v>30</v>
      </c>
      <c r="D46" s="2">
        <v>46266</v>
      </c>
      <c r="E46" t="s">
        <v>23</v>
      </c>
    </row>
    <row r="47" spans="1:5" x14ac:dyDescent="0.35">
      <c r="A47" t="s">
        <v>595</v>
      </c>
      <c r="B47" t="s">
        <v>548</v>
      </c>
      <c r="C47" t="s">
        <v>28</v>
      </c>
      <c r="D47" s="2">
        <v>46325</v>
      </c>
      <c r="E47" t="s">
        <v>23</v>
      </c>
    </row>
    <row r="48" spans="1:5" x14ac:dyDescent="0.35">
      <c r="A48" t="s">
        <v>596</v>
      </c>
      <c r="B48" t="s">
        <v>548</v>
      </c>
      <c r="C48" t="s">
        <v>28</v>
      </c>
      <c r="D48" s="2">
        <v>46150</v>
      </c>
      <c r="E48" t="s">
        <v>563</v>
      </c>
    </row>
    <row r="49" spans="1:5" x14ac:dyDescent="0.35">
      <c r="A49" t="s">
        <v>597</v>
      </c>
      <c r="B49" t="s">
        <v>545</v>
      </c>
      <c r="C49" t="s">
        <v>34</v>
      </c>
      <c r="D49" s="2">
        <v>46037</v>
      </c>
      <c r="E49" t="s">
        <v>563</v>
      </c>
    </row>
    <row r="50" spans="1:5" x14ac:dyDescent="0.35">
      <c r="A50" t="s">
        <v>598</v>
      </c>
      <c r="B50" t="s">
        <v>555</v>
      </c>
      <c r="C50" t="s">
        <v>17</v>
      </c>
      <c r="D50" s="2">
        <v>46225</v>
      </c>
      <c r="E50" t="s">
        <v>360</v>
      </c>
    </row>
    <row r="51" spans="1:5" x14ac:dyDescent="0.35">
      <c r="A51" t="s">
        <v>599</v>
      </c>
      <c r="B51" t="s">
        <v>551</v>
      </c>
      <c r="C51" t="s">
        <v>34</v>
      </c>
      <c r="D51" s="2">
        <v>45945</v>
      </c>
      <c r="E51" t="s">
        <v>360</v>
      </c>
    </row>
    <row r="52" spans="1:5" x14ac:dyDescent="0.35">
      <c r="A52" t="s">
        <v>600</v>
      </c>
      <c r="B52" t="s">
        <v>545</v>
      </c>
      <c r="C52" t="s">
        <v>17</v>
      </c>
      <c r="D52" s="2">
        <v>46170</v>
      </c>
      <c r="E52" t="s">
        <v>552</v>
      </c>
    </row>
    <row r="53" spans="1:5" x14ac:dyDescent="0.35">
      <c r="A53" t="s">
        <v>601</v>
      </c>
      <c r="B53" t="s">
        <v>548</v>
      </c>
      <c r="C53" t="s">
        <v>46</v>
      </c>
      <c r="D53" s="2">
        <v>46254</v>
      </c>
      <c r="E53" t="s">
        <v>552</v>
      </c>
    </row>
    <row r="54" spans="1:5" x14ac:dyDescent="0.35">
      <c r="A54" t="s">
        <v>602</v>
      </c>
      <c r="B54" t="s">
        <v>548</v>
      </c>
      <c r="C54" t="s">
        <v>34</v>
      </c>
      <c r="D54" s="2">
        <v>46294</v>
      </c>
      <c r="E54" t="s">
        <v>552</v>
      </c>
    </row>
    <row r="55" spans="1:5" x14ac:dyDescent="0.35">
      <c r="A55" t="s">
        <v>603</v>
      </c>
      <c r="B55" t="s">
        <v>555</v>
      </c>
      <c r="C55" t="s">
        <v>30</v>
      </c>
      <c r="D55" s="2">
        <v>45931</v>
      </c>
      <c r="E55" t="s">
        <v>563</v>
      </c>
    </row>
    <row r="56" spans="1:5" x14ac:dyDescent="0.35">
      <c r="A56" t="s">
        <v>604</v>
      </c>
      <c r="B56" t="s">
        <v>545</v>
      </c>
      <c r="C56" t="s">
        <v>17</v>
      </c>
      <c r="D56" s="2">
        <v>46153</v>
      </c>
      <c r="E56" t="s">
        <v>563</v>
      </c>
    </row>
    <row r="57" spans="1:5" x14ac:dyDescent="0.35">
      <c r="A57" t="s">
        <v>605</v>
      </c>
      <c r="B57" t="s">
        <v>545</v>
      </c>
      <c r="C57" t="s">
        <v>10</v>
      </c>
      <c r="D57" s="2">
        <v>45934</v>
      </c>
      <c r="E57" t="s">
        <v>23</v>
      </c>
    </row>
    <row r="58" spans="1:5" x14ac:dyDescent="0.35">
      <c r="A58" t="s">
        <v>606</v>
      </c>
      <c r="B58" t="s">
        <v>551</v>
      </c>
      <c r="C58" t="s">
        <v>17</v>
      </c>
      <c r="D58" s="2">
        <v>46324</v>
      </c>
      <c r="E58" t="s">
        <v>23</v>
      </c>
    </row>
    <row r="59" spans="1:5" x14ac:dyDescent="0.35">
      <c r="A59" t="s">
        <v>607</v>
      </c>
      <c r="B59" t="s">
        <v>551</v>
      </c>
      <c r="C59" t="s">
        <v>30</v>
      </c>
      <c r="D59" s="2">
        <v>46193</v>
      </c>
      <c r="E59" t="s">
        <v>552</v>
      </c>
    </row>
    <row r="60" spans="1:5" x14ac:dyDescent="0.35">
      <c r="A60" t="s">
        <v>608</v>
      </c>
      <c r="B60" t="s">
        <v>555</v>
      </c>
      <c r="C60" t="s">
        <v>10</v>
      </c>
      <c r="D60" s="2">
        <v>46082</v>
      </c>
      <c r="E60" t="s">
        <v>552</v>
      </c>
    </row>
    <row r="61" spans="1:5" x14ac:dyDescent="0.35">
      <c r="A61" t="s">
        <v>609</v>
      </c>
      <c r="B61" t="s">
        <v>555</v>
      </c>
      <c r="C61" t="s">
        <v>28</v>
      </c>
      <c r="D61" s="2">
        <v>45993</v>
      </c>
      <c r="E61" t="s">
        <v>23</v>
      </c>
    </row>
    <row r="62" spans="1:5" x14ac:dyDescent="0.35">
      <c r="A62" t="s">
        <v>610</v>
      </c>
      <c r="B62" t="s">
        <v>555</v>
      </c>
      <c r="C62" t="s">
        <v>30</v>
      </c>
      <c r="D62" s="2">
        <v>46189</v>
      </c>
      <c r="E62" t="s">
        <v>552</v>
      </c>
    </row>
    <row r="63" spans="1:5" x14ac:dyDescent="0.35">
      <c r="A63" t="s">
        <v>611</v>
      </c>
      <c r="B63" t="s">
        <v>551</v>
      </c>
      <c r="C63" t="s">
        <v>34</v>
      </c>
      <c r="D63" s="2">
        <v>46253</v>
      </c>
      <c r="E63" t="s">
        <v>552</v>
      </c>
    </row>
    <row r="64" spans="1:5" x14ac:dyDescent="0.35">
      <c r="A64" t="s">
        <v>612</v>
      </c>
      <c r="B64" t="s">
        <v>548</v>
      </c>
      <c r="C64" t="s">
        <v>34</v>
      </c>
      <c r="D64" s="2">
        <v>46191</v>
      </c>
      <c r="E64" t="s">
        <v>552</v>
      </c>
    </row>
    <row r="65" spans="1:5" x14ac:dyDescent="0.35">
      <c r="A65" t="s">
        <v>613</v>
      </c>
      <c r="B65" t="s">
        <v>548</v>
      </c>
      <c r="C65" t="s">
        <v>30</v>
      </c>
      <c r="D65" s="2">
        <v>46319</v>
      </c>
      <c r="E65" t="s">
        <v>23</v>
      </c>
    </row>
    <row r="66" spans="1:5" x14ac:dyDescent="0.35">
      <c r="A66" t="s">
        <v>614</v>
      </c>
      <c r="B66" t="s">
        <v>548</v>
      </c>
      <c r="C66" t="s">
        <v>17</v>
      </c>
      <c r="D66" s="2">
        <v>46271</v>
      </c>
      <c r="E66" t="s">
        <v>23</v>
      </c>
    </row>
    <row r="67" spans="1:5" x14ac:dyDescent="0.35">
      <c r="A67" t="s">
        <v>615</v>
      </c>
      <c r="B67" t="s">
        <v>545</v>
      </c>
      <c r="C67" t="s">
        <v>17</v>
      </c>
      <c r="D67" s="2">
        <v>46278</v>
      </c>
      <c r="E67" t="s">
        <v>23</v>
      </c>
    </row>
    <row r="68" spans="1:5" x14ac:dyDescent="0.35">
      <c r="A68" t="s">
        <v>616</v>
      </c>
      <c r="B68" t="s">
        <v>548</v>
      </c>
      <c r="C68" t="s">
        <v>17</v>
      </c>
      <c r="D68" s="2">
        <v>46012</v>
      </c>
      <c r="E68" t="s">
        <v>360</v>
      </c>
    </row>
    <row r="69" spans="1:5" x14ac:dyDescent="0.35">
      <c r="A69" t="s">
        <v>617</v>
      </c>
      <c r="B69" t="s">
        <v>548</v>
      </c>
      <c r="C69" t="s">
        <v>34</v>
      </c>
      <c r="D69" s="2">
        <v>45997</v>
      </c>
      <c r="E69" t="s">
        <v>23</v>
      </c>
    </row>
    <row r="70" spans="1:5" x14ac:dyDescent="0.35">
      <c r="A70" t="s">
        <v>618</v>
      </c>
      <c r="B70" t="s">
        <v>548</v>
      </c>
      <c r="C70" t="s">
        <v>34</v>
      </c>
      <c r="D70" s="2">
        <v>45989</v>
      </c>
      <c r="E70" t="s">
        <v>360</v>
      </c>
    </row>
    <row r="71" spans="1:5" x14ac:dyDescent="0.35">
      <c r="A71" t="s">
        <v>619</v>
      </c>
      <c r="B71" t="s">
        <v>545</v>
      </c>
      <c r="C71" t="s">
        <v>30</v>
      </c>
      <c r="D71" s="2">
        <v>46299</v>
      </c>
      <c r="E71" t="s">
        <v>552</v>
      </c>
    </row>
    <row r="72" spans="1:5" x14ac:dyDescent="0.35">
      <c r="A72" t="s">
        <v>620</v>
      </c>
      <c r="B72" t="s">
        <v>548</v>
      </c>
      <c r="C72" t="s">
        <v>34</v>
      </c>
      <c r="D72" s="2">
        <v>46005</v>
      </c>
      <c r="E72" t="s">
        <v>23</v>
      </c>
    </row>
    <row r="73" spans="1:5" x14ac:dyDescent="0.35">
      <c r="A73" t="s">
        <v>621</v>
      </c>
      <c r="B73" t="s">
        <v>555</v>
      </c>
      <c r="C73" t="s">
        <v>28</v>
      </c>
      <c r="D73" s="2">
        <v>46280</v>
      </c>
      <c r="E73" t="s">
        <v>563</v>
      </c>
    </row>
    <row r="74" spans="1:5" x14ac:dyDescent="0.35">
      <c r="A74" t="s">
        <v>622</v>
      </c>
      <c r="B74" t="s">
        <v>551</v>
      </c>
      <c r="C74" t="s">
        <v>28</v>
      </c>
      <c r="D74" s="2">
        <v>45995</v>
      </c>
      <c r="E74" t="s">
        <v>552</v>
      </c>
    </row>
    <row r="75" spans="1:5" x14ac:dyDescent="0.35">
      <c r="A75" t="s">
        <v>623</v>
      </c>
      <c r="B75" t="s">
        <v>555</v>
      </c>
      <c r="C75" t="s">
        <v>10</v>
      </c>
      <c r="D75" s="2">
        <v>46278</v>
      </c>
      <c r="E75" t="s">
        <v>23</v>
      </c>
    </row>
    <row r="76" spans="1:5" x14ac:dyDescent="0.35">
      <c r="A76" t="s">
        <v>624</v>
      </c>
      <c r="B76" t="s">
        <v>548</v>
      </c>
      <c r="C76" t="s">
        <v>34</v>
      </c>
      <c r="D76" s="2">
        <v>46314</v>
      </c>
      <c r="E76" t="s">
        <v>552</v>
      </c>
    </row>
    <row r="77" spans="1:5" x14ac:dyDescent="0.35">
      <c r="A77" t="s">
        <v>625</v>
      </c>
      <c r="B77" t="s">
        <v>545</v>
      </c>
      <c r="C77" t="s">
        <v>34</v>
      </c>
      <c r="D77" s="2">
        <v>46115</v>
      </c>
      <c r="E77" t="s">
        <v>360</v>
      </c>
    </row>
    <row r="78" spans="1:5" x14ac:dyDescent="0.35">
      <c r="A78" t="s">
        <v>626</v>
      </c>
      <c r="B78" t="s">
        <v>551</v>
      </c>
      <c r="C78" t="s">
        <v>10</v>
      </c>
      <c r="D78" s="2">
        <v>46195</v>
      </c>
      <c r="E78" t="s">
        <v>552</v>
      </c>
    </row>
    <row r="79" spans="1:5" x14ac:dyDescent="0.35">
      <c r="A79" t="s">
        <v>627</v>
      </c>
      <c r="B79" t="s">
        <v>555</v>
      </c>
      <c r="C79" t="s">
        <v>30</v>
      </c>
      <c r="D79" s="2">
        <v>46059</v>
      </c>
      <c r="E79" t="s">
        <v>360</v>
      </c>
    </row>
    <row r="80" spans="1:5" x14ac:dyDescent="0.35">
      <c r="A80" t="s">
        <v>628</v>
      </c>
      <c r="B80" t="s">
        <v>545</v>
      </c>
      <c r="C80" t="s">
        <v>46</v>
      </c>
      <c r="D80" s="2">
        <v>45945</v>
      </c>
      <c r="E80" t="s">
        <v>23</v>
      </c>
    </row>
    <row r="81" spans="1:5" x14ac:dyDescent="0.35">
      <c r="A81" t="s">
        <v>629</v>
      </c>
      <c r="B81" t="s">
        <v>545</v>
      </c>
      <c r="C81" t="s">
        <v>34</v>
      </c>
      <c r="D81" s="2">
        <v>45961</v>
      </c>
      <c r="E81" t="s">
        <v>552</v>
      </c>
    </row>
    <row r="82" spans="1:5" x14ac:dyDescent="0.35">
      <c r="A82" t="s">
        <v>630</v>
      </c>
      <c r="B82" t="s">
        <v>551</v>
      </c>
      <c r="C82" t="s">
        <v>10</v>
      </c>
      <c r="D82" s="2">
        <v>46161</v>
      </c>
      <c r="E82" t="s">
        <v>23</v>
      </c>
    </row>
    <row r="83" spans="1:5" x14ac:dyDescent="0.35">
      <c r="A83" t="s">
        <v>631</v>
      </c>
      <c r="B83" t="s">
        <v>545</v>
      </c>
      <c r="C83" t="s">
        <v>34</v>
      </c>
      <c r="D83" s="2">
        <v>46055</v>
      </c>
      <c r="E83" t="s">
        <v>563</v>
      </c>
    </row>
    <row r="84" spans="1:5" x14ac:dyDescent="0.35">
      <c r="A84" t="s">
        <v>632</v>
      </c>
      <c r="B84" t="s">
        <v>555</v>
      </c>
      <c r="C84" t="s">
        <v>30</v>
      </c>
      <c r="D84" s="2">
        <v>46277</v>
      </c>
      <c r="E84" t="s">
        <v>552</v>
      </c>
    </row>
    <row r="85" spans="1:5" x14ac:dyDescent="0.35">
      <c r="A85" t="s">
        <v>633</v>
      </c>
      <c r="B85" t="s">
        <v>555</v>
      </c>
      <c r="C85" t="s">
        <v>34</v>
      </c>
      <c r="D85" s="2">
        <v>46171</v>
      </c>
      <c r="E85" t="s">
        <v>552</v>
      </c>
    </row>
    <row r="86" spans="1:5" x14ac:dyDescent="0.35">
      <c r="A86" t="s">
        <v>634</v>
      </c>
      <c r="B86" t="s">
        <v>551</v>
      </c>
      <c r="C86" t="s">
        <v>46</v>
      </c>
      <c r="D86" s="2">
        <v>46049</v>
      </c>
      <c r="E86" t="s">
        <v>552</v>
      </c>
    </row>
    <row r="87" spans="1:5" x14ac:dyDescent="0.35">
      <c r="A87" t="s">
        <v>635</v>
      </c>
      <c r="B87" t="s">
        <v>545</v>
      </c>
      <c r="C87" t="s">
        <v>10</v>
      </c>
      <c r="D87" s="2">
        <v>46239</v>
      </c>
      <c r="E87" t="s">
        <v>563</v>
      </c>
    </row>
    <row r="88" spans="1:5" x14ac:dyDescent="0.35">
      <c r="A88" t="s">
        <v>636</v>
      </c>
      <c r="B88" t="s">
        <v>545</v>
      </c>
      <c r="C88" t="s">
        <v>34</v>
      </c>
      <c r="D88" s="2">
        <v>46181</v>
      </c>
      <c r="E88" t="s">
        <v>360</v>
      </c>
    </row>
    <row r="89" spans="1:5" x14ac:dyDescent="0.35">
      <c r="A89" t="s">
        <v>637</v>
      </c>
      <c r="B89" t="s">
        <v>551</v>
      </c>
      <c r="C89" t="s">
        <v>30</v>
      </c>
      <c r="D89" s="2">
        <v>46318</v>
      </c>
      <c r="E89" t="s">
        <v>23</v>
      </c>
    </row>
    <row r="90" spans="1:5" x14ac:dyDescent="0.35">
      <c r="A90" t="s">
        <v>638</v>
      </c>
      <c r="B90" t="s">
        <v>548</v>
      </c>
      <c r="C90" t="s">
        <v>10</v>
      </c>
      <c r="D90" s="2">
        <v>46013</v>
      </c>
      <c r="E90" t="s">
        <v>552</v>
      </c>
    </row>
    <row r="91" spans="1:5" x14ac:dyDescent="0.35">
      <c r="A91" t="s">
        <v>639</v>
      </c>
      <c r="B91" t="s">
        <v>551</v>
      </c>
      <c r="C91" t="s">
        <v>28</v>
      </c>
      <c r="D91" s="2">
        <v>46122</v>
      </c>
      <c r="E91" t="s">
        <v>552</v>
      </c>
    </row>
    <row r="92" spans="1:5" x14ac:dyDescent="0.35">
      <c r="A92" t="s">
        <v>640</v>
      </c>
      <c r="B92" t="s">
        <v>551</v>
      </c>
      <c r="C92" t="s">
        <v>34</v>
      </c>
      <c r="D92" s="2">
        <v>46192</v>
      </c>
      <c r="E92" t="s">
        <v>552</v>
      </c>
    </row>
    <row r="93" spans="1:5" x14ac:dyDescent="0.35">
      <c r="A93" t="s">
        <v>641</v>
      </c>
      <c r="B93" t="s">
        <v>555</v>
      </c>
      <c r="C93" t="s">
        <v>46</v>
      </c>
      <c r="D93" s="2">
        <v>46015</v>
      </c>
      <c r="E93" t="s">
        <v>360</v>
      </c>
    </row>
    <row r="94" spans="1:5" x14ac:dyDescent="0.35">
      <c r="A94" t="s">
        <v>642</v>
      </c>
      <c r="B94" t="s">
        <v>548</v>
      </c>
      <c r="C94" t="s">
        <v>28</v>
      </c>
      <c r="D94" s="2">
        <v>46248</v>
      </c>
      <c r="E94" t="s">
        <v>552</v>
      </c>
    </row>
    <row r="95" spans="1:5" x14ac:dyDescent="0.35">
      <c r="A95" t="s">
        <v>643</v>
      </c>
      <c r="B95" t="s">
        <v>548</v>
      </c>
      <c r="C95" t="s">
        <v>34</v>
      </c>
      <c r="D95" s="2">
        <v>45984</v>
      </c>
      <c r="E95" t="s">
        <v>552</v>
      </c>
    </row>
    <row r="96" spans="1:5" x14ac:dyDescent="0.35">
      <c r="A96" t="s">
        <v>644</v>
      </c>
      <c r="B96" t="s">
        <v>551</v>
      </c>
      <c r="C96" t="s">
        <v>46</v>
      </c>
      <c r="D96" s="2">
        <v>46007</v>
      </c>
      <c r="E96" t="s">
        <v>23</v>
      </c>
    </row>
    <row r="97" spans="1:5" x14ac:dyDescent="0.35">
      <c r="A97" t="s">
        <v>645</v>
      </c>
      <c r="B97" t="s">
        <v>545</v>
      </c>
      <c r="C97" t="s">
        <v>28</v>
      </c>
      <c r="D97" s="2">
        <v>46007</v>
      </c>
      <c r="E97" t="s">
        <v>552</v>
      </c>
    </row>
    <row r="98" spans="1:5" x14ac:dyDescent="0.35">
      <c r="A98" t="s">
        <v>646</v>
      </c>
      <c r="B98" t="s">
        <v>551</v>
      </c>
      <c r="C98" t="s">
        <v>34</v>
      </c>
      <c r="D98" s="2">
        <v>46122</v>
      </c>
      <c r="E98" t="s">
        <v>552</v>
      </c>
    </row>
    <row r="99" spans="1:5" x14ac:dyDescent="0.35">
      <c r="A99" t="s">
        <v>647</v>
      </c>
      <c r="B99" t="s">
        <v>551</v>
      </c>
      <c r="C99" t="s">
        <v>46</v>
      </c>
      <c r="D99" s="2">
        <v>45971</v>
      </c>
      <c r="E99" t="s">
        <v>552</v>
      </c>
    </row>
    <row r="100" spans="1:5" x14ac:dyDescent="0.35">
      <c r="A100" t="s">
        <v>648</v>
      </c>
      <c r="B100" t="s">
        <v>545</v>
      </c>
      <c r="C100" t="s">
        <v>34</v>
      </c>
      <c r="D100" s="2">
        <v>46144</v>
      </c>
      <c r="E100" t="s">
        <v>552</v>
      </c>
    </row>
    <row r="101" spans="1:5" x14ac:dyDescent="0.35">
      <c r="A101" t="s">
        <v>649</v>
      </c>
      <c r="B101" t="s">
        <v>548</v>
      </c>
      <c r="C101" t="s">
        <v>46</v>
      </c>
      <c r="D101" s="2">
        <v>46253</v>
      </c>
      <c r="E101" t="s">
        <v>563</v>
      </c>
    </row>
    <row r="102" spans="1:5" x14ac:dyDescent="0.35">
      <c r="A102" t="s">
        <v>650</v>
      </c>
      <c r="B102" t="s">
        <v>548</v>
      </c>
      <c r="C102" t="s">
        <v>10</v>
      </c>
      <c r="D102" s="2">
        <v>46324</v>
      </c>
      <c r="E102" t="s">
        <v>552</v>
      </c>
    </row>
    <row r="103" spans="1:5" x14ac:dyDescent="0.35">
      <c r="A103" t="s">
        <v>651</v>
      </c>
      <c r="B103" t="s">
        <v>555</v>
      </c>
      <c r="C103" t="s">
        <v>10</v>
      </c>
      <c r="D103" s="2">
        <v>46059</v>
      </c>
      <c r="E103" t="s">
        <v>563</v>
      </c>
    </row>
    <row r="104" spans="1:5" x14ac:dyDescent="0.35">
      <c r="A104" t="s">
        <v>652</v>
      </c>
      <c r="B104" t="s">
        <v>545</v>
      </c>
      <c r="C104" t="s">
        <v>34</v>
      </c>
      <c r="D104" s="2">
        <v>46326</v>
      </c>
      <c r="E104" t="s">
        <v>552</v>
      </c>
    </row>
    <row r="105" spans="1:5" x14ac:dyDescent="0.35">
      <c r="A105" t="s">
        <v>653</v>
      </c>
      <c r="B105" t="s">
        <v>551</v>
      </c>
      <c r="C105" t="s">
        <v>17</v>
      </c>
      <c r="D105" s="2">
        <v>45993</v>
      </c>
      <c r="E105" t="s">
        <v>552</v>
      </c>
    </row>
    <row r="106" spans="1:5" x14ac:dyDescent="0.35">
      <c r="A106" t="s">
        <v>654</v>
      </c>
      <c r="B106" t="s">
        <v>551</v>
      </c>
      <c r="C106" t="s">
        <v>34</v>
      </c>
      <c r="D106" s="2">
        <v>46105</v>
      </c>
      <c r="E106" t="s">
        <v>552</v>
      </c>
    </row>
    <row r="107" spans="1:5" x14ac:dyDescent="0.35">
      <c r="A107" t="s">
        <v>655</v>
      </c>
      <c r="B107" t="s">
        <v>548</v>
      </c>
      <c r="C107" t="s">
        <v>34</v>
      </c>
      <c r="D107" s="2">
        <v>45948</v>
      </c>
      <c r="E107" t="s">
        <v>552</v>
      </c>
    </row>
    <row r="108" spans="1:5" x14ac:dyDescent="0.35">
      <c r="A108" t="s">
        <v>656</v>
      </c>
      <c r="B108" t="s">
        <v>545</v>
      </c>
      <c r="C108" t="s">
        <v>34</v>
      </c>
      <c r="D108" s="2">
        <v>45948</v>
      </c>
      <c r="E108" t="s">
        <v>552</v>
      </c>
    </row>
    <row r="109" spans="1:5" x14ac:dyDescent="0.35">
      <c r="A109" t="s">
        <v>657</v>
      </c>
      <c r="B109" t="s">
        <v>545</v>
      </c>
      <c r="C109" t="s">
        <v>10</v>
      </c>
      <c r="D109" s="2">
        <v>46108</v>
      </c>
      <c r="E109" t="s">
        <v>552</v>
      </c>
    </row>
    <row r="110" spans="1:5" x14ac:dyDescent="0.35">
      <c r="A110" t="s">
        <v>658</v>
      </c>
      <c r="B110" t="s">
        <v>545</v>
      </c>
      <c r="C110" t="s">
        <v>46</v>
      </c>
      <c r="D110" s="2">
        <v>46157</v>
      </c>
      <c r="E110" t="s">
        <v>563</v>
      </c>
    </row>
    <row r="111" spans="1:5" x14ac:dyDescent="0.35">
      <c r="A111" t="s">
        <v>659</v>
      </c>
      <c r="B111" t="s">
        <v>555</v>
      </c>
      <c r="C111" t="s">
        <v>17</v>
      </c>
      <c r="D111" s="2">
        <v>45989</v>
      </c>
      <c r="E111" t="s">
        <v>552</v>
      </c>
    </row>
    <row r="112" spans="1:5" x14ac:dyDescent="0.35">
      <c r="A112" t="s">
        <v>660</v>
      </c>
      <c r="B112" t="s">
        <v>555</v>
      </c>
      <c r="C112" t="s">
        <v>28</v>
      </c>
      <c r="D112" s="2">
        <v>46079</v>
      </c>
      <c r="E112" t="s">
        <v>552</v>
      </c>
    </row>
    <row r="113" spans="1:5" x14ac:dyDescent="0.35">
      <c r="A113" t="s">
        <v>661</v>
      </c>
      <c r="B113" t="s">
        <v>545</v>
      </c>
      <c r="C113" t="s">
        <v>17</v>
      </c>
      <c r="D113" s="2">
        <v>46152</v>
      </c>
      <c r="E113" t="s">
        <v>552</v>
      </c>
    </row>
    <row r="114" spans="1:5" x14ac:dyDescent="0.35">
      <c r="A114" t="s">
        <v>662</v>
      </c>
      <c r="B114" t="s">
        <v>551</v>
      </c>
      <c r="C114" t="s">
        <v>30</v>
      </c>
      <c r="D114" s="2">
        <v>46245</v>
      </c>
      <c r="E114" t="s">
        <v>552</v>
      </c>
    </row>
    <row r="115" spans="1:5" x14ac:dyDescent="0.35">
      <c r="A115" t="s">
        <v>663</v>
      </c>
      <c r="B115" t="s">
        <v>555</v>
      </c>
      <c r="C115" t="s">
        <v>17</v>
      </c>
      <c r="D115" s="2">
        <v>46310</v>
      </c>
      <c r="E115" t="s">
        <v>360</v>
      </c>
    </row>
    <row r="116" spans="1:5" x14ac:dyDescent="0.35">
      <c r="A116" t="s">
        <v>664</v>
      </c>
      <c r="B116" t="s">
        <v>555</v>
      </c>
      <c r="C116" t="s">
        <v>46</v>
      </c>
      <c r="D116" s="2">
        <v>46136</v>
      </c>
      <c r="E116" t="s">
        <v>23</v>
      </c>
    </row>
    <row r="117" spans="1:5" x14ac:dyDescent="0.35">
      <c r="A117" t="s">
        <v>665</v>
      </c>
      <c r="B117" t="s">
        <v>548</v>
      </c>
      <c r="C117" t="s">
        <v>46</v>
      </c>
      <c r="D117" s="2">
        <v>46261</v>
      </c>
      <c r="E117" t="s">
        <v>552</v>
      </c>
    </row>
    <row r="118" spans="1:5" x14ac:dyDescent="0.35">
      <c r="A118" t="s">
        <v>666</v>
      </c>
      <c r="B118" t="s">
        <v>551</v>
      </c>
      <c r="C118" t="s">
        <v>46</v>
      </c>
      <c r="D118" s="2">
        <v>46016</v>
      </c>
      <c r="E118" t="s">
        <v>552</v>
      </c>
    </row>
    <row r="119" spans="1:5" x14ac:dyDescent="0.35">
      <c r="A119" t="s">
        <v>667</v>
      </c>
      <c r="B119" t="s">
        <v>548</v>
      </c>
      <c r="C119" t="s">
        <v>28</v>
      </c>
      <c r="D119" s="2">
        <v>45973</v>
      </c>
      <c r="E119" t="s">
        <v>360</v>
      </c>
    </row>
    <row r="120" spans="1:5" x14ac:dyDescent="0.35">
      <c r="A120" t="s">
        <v>668</v>
      </c>
      <c r="B120" t="s">
        <v>548</v>
      </c>
      <c r="C120" t="s">
        <v>34</v>
      </c>
      <c r="D120" s="2">
        <v>46283</v>
      </c>
      <c r="E120" t="s">
        <v>360</v>
      </c>
    </row>
    <row r="121" spans="1:5" x14ac:dyDescent="0.35">
      <c r="A121" t="s">
        <v>669</v>
      </c>
      <c r="B121" t="s">
        <v>555</v>
      </c>
      <c r="C121" t="s">
        <v>10</v>
      </c>
      <c r="D121" s="2">
        <v>45942</v>
      </c>
      <c r="E121" t="s">
        <v>552</v>
      </c>
    </row>
    <row r="122" spans="1:5" x14ac:dyDescent="0.35">
      <c r="A122" t="s">
        <v>670</v>
      </c>
      <c r="B122" t="s">
        <v>551</v>
      </c>
      <c r="C122" t="s">
        <v>34</v>
      </c>
      <c r="D122" s="2">
        <v>45953</v>
      </c>
      <c r="E122" t="s">
        <v>360</v>
      </c>
    </row>
    <row r="123" spans="1:5" x14ac:dyDescent="0.35">
      <c r="A123" t="s">
        <v>671</v>
      </c>
      <c r="B123" t="s">
        <v>551</v>
      </c>
      <c r="C123" t="s">
        <v>17</v>
      </c>
      <c r="D123" s="2">
        <v>46251</v>
      </c>
      <c r="E123" t="s">
        <v>23</v>
      </c>
    </row>
    <row r="124" spans="1:5" x14ac:dyDescent="0.35">
      <c r="A124" t="s">
        <v>672</v>
      </c>
      <c r="B124" t="s">
        <v>548</v>
      </c>
      <c r="C124" t="s">
        <v>34</v>
      </c>
      <c r="D124" s="2">
        <v>46161</v>
      </c>
      <c r="E124" t="s">
        <v>360</v>
      </c>
    </row>
    <row r="125" spans="1:5" x14ac:dyDescent="0.35">
      <c r="A125" t="s">
        <v>673</v>
      </c>
      <c r="B125" t="s">
        <v>548</v>
      </c>
      <c r="C125" t="s">
        <v>17</v>
      </c>
      <c r="D125" s="2">
        <v>46150</v>
      </c>
      <c r="E125" t="s">
        <v>23</v>
      </c>
    </row>
    <row r="126" spans="1:5" x14ac:dyDescent="0.35">
      <c r="A126" t="s">
        <v>674</v>
      </c>
      <c r="B126" t="s">
        <v>545</v>
      </c>
      <c r="C126" t="s">
        <v>10</v>
      </c>
      <c r="D126" s="2">
        <v>46239</v>
      </c>
      <c r="E126" t="s">
        <v>552</v>
      </c>
    </row>
    <row r="127" spans="1:5" x14ac:dyDescent="0.35">
      <c r="A127" t="s">
        <v>675</v>
      </c>
      <c r="B127" t="s">
        <v>545</v>
      </c>
      <c r="C127" t="s">
        <v>10</v>
      </c>
      <c r="D127" s="2">
        <v>46131</v>
      </c>
      <c r="E127" t="s">
        <v>563</v>
      </c>
    </row>
    <row r="128" spans="1:5" x14ac:dyDescent="0.35">
      <c r="A128" t="s">
        <v>676</v>
      </c>
      <c r="B128" t="s">
        <v>555</v>
      </c>
      <c r="C128" t="s">
        <v>34</v>
      </c>
      <c r="D128" s="2">
        <v>46098</v>
      </c>
      <c r="E128" t="s">
        <v>552</v>
      </c>
    </row>
    <row r="129" spans="1:5" x14ac:dyDescent="0.35">
      <c r="A129" t="s">
        <v>677</v>
      </c>
      <c r="B129" t="s">
        <v>545</v>
      </c>
      <c r="C129" t="s">
        <v>30</v>
      </c>
      <c r="D129" s="2">
        <v>46037</v>
      </c>
      <c r="E129" t="s">
        <v>360</v>
      </c>
    </row>
    <row r="130" spans="1:5" x14ac:dyDescent="0.35">
      <c r="A130" t="s">
        <v>678</v>
      </c>
      <c r="B130" t="s">
        <v>551</v>
      </c>
      <c r="C130" t="s">
        <v>34</v>
      </c>
      <c r="D130" s="2">
        <v>46283</v>
      </c>
      <c r="E130" t="s">
        <v>552</v>
      </c>
    </row>
    <row r="131" spans="1:5" x14ac:dyDescent="0.35">
      <c r="A131" t="s">
        <v>679</v>
      </c>
      <c r="B131" t="s">
        <v>545</v>
      </c>
      <c r="C131" t="s">
        <v>17</v>
      </c>
      <c r="D131" s="2">
        <v>46047</v>
      </c>
      <c r="E131" t="s">
        <v>360</v>
      </c>
    </row>
    <row r="132" spans="1:5" x14ac:dyDescent="0.35">
      <c r="A132" t="s">
        <v>680</v>
      </c>
      <c r="B132" t="s">
        <v>551</v>
      </c>
      <c r="C132" t="s">
        <v>46</v>
      </c>
      <c r="D132" s="2">
        <v>45937</v>
      </c>
      <c r="E132" t="s">
        <v>360</v>
      </c>
    </row>
    <row r="133" spans="1:5" x14ac:dyDescent="0.35">
      <c r="A133" t="s">
        <v>681</v>
      </c>
      <c r="B133" t="s">
        <v>548</v>
      </c>
      <c r="C133" t="s">
        <v>28</v>
      </c>
      <c r="D133" s="2">
        <v>46226</v>
      </c>
      <c r="E133" t="s">
        <v>23</v>
      </c>
    </row>
    <row r="134" spans="1:5" x14ac:dyDescent="0.35">
      <c r="A134" t="s">
        <v>682</v>
      </c>
      <c r="B134" t="s">
        <v>548</v>
      </c>
      <c r="C134" t="s">
        <v>30</v>
      </c>
      <c r="D134" s="2">
        <v>46286</v>
      </c>
      <c r="E134" t="s">
        <v>552</v>
      </c>
    </row>
    <row r="135" spans="1:5" x14ac:dyDescent="0.35">
      <c r="A135" t="s">
        <v>683</v>
      </c>
      <c r="B135" t="s">
        <v>548</v>
      </c>
      <c r="C135" t="s">
        <v>46</v>
      </c>
      <c r="D135" s="2">
        <v>46107</v>
      </c>
      <c r="E135" t="s">
        <v>563</v>
      </c>
    </row>
    <row r="136" spans="1:5" x14ac:dyDescent="0.35">
      <c r="A136" t="s">
        <v>684</v>
      </c>
      <c r="B136" t="s">
        <v>548</v>
      </c>
      <c r="C136" t="s">
        <v>30</v>
      </c>
      <c r="D136" s="2">
        <v>45983</v>
      </c>
      <c r="E136" t="s">
        <v>360</v>
      </c>
    </row>
    <row r="137" spans="1:5" x14ac:dyDescent="0.35">
      <c r="A137" t="s">
        <v>685</v>
      </c>
      <c r="B137" t="s">
        <v>555</v>
      </c>
      <c r="C137" t="s">
        <v>28</v>
      </c>
      <c r="D137" s="2">
        <v>46191</v>
      </c>
      <c r="E137" t="s">
        <v>360</v>
      </c>
    </row>
    <row r="138" spans="1:5" x14ac:dyDescent="0.35">
      <c r="A138" t="s">
        <v>686</v>
      </c>
      <c r="B138" t="s">
        <v>545</v>
      </c>
      <c r="C138" t="s">
        <v>30</v>
      </c>
      <c r="D138" s="2">
        <v>46171</v>
      </c>
      <c r="E138" t="s">
        <v>552</v>
      </c>
    </row>
    <row r="139" spans="1:5" x14ac:dyDescent="0.35">
      <c r="A139" t="s">
        <v>687</v>
      </c>
      <c r="B139" t="s">
        <v>555</v>
      </c>
      <c r="C139" t="s">
        <v>28</v>
      </c>
      <c r="D139" s="2">
        <v>46055</v>
      </c>
      <c r="E139" t="s">
        <v>23</v>
      </c>
    </row>
    <row r="140" spans="1:5" x14ac:dyDescent="0.35">
      <c r="A140" t="s">
        <v>688</v>
      </c>
      <c r="B140" t="s">
        <v>545</v>
      </c>
      <c r="C140" t="s">
        <v>10</v>
      </c>
      <c r="D140" s="2">
        <v>46326</v>
      </c>
      <c r="E140" t="s">
        <v>360</v>
      </c>
    </row>
    <row r="141" spans="1:5" x14ac:dyDescent="0.35">
      <c r="A141" t="s">
        <v>689</v>
      </c>
      <c r="B141" t="s">
        <v>548</v>
      </c>
      <c r="C141" t="s">
        <v>17</v>
      </c>
      <c r="D141" s="2">
        <v>46070</v>
      </c>
      <c r="E141" t="s">
        <v>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0BA4-B970-46FD-AF12-DFC4B8BA79F6}">
  <dimension ref="A1:D13"/>
  <sheetViews>
    <sheetView workbookViewId="0"/>
  </sheetViews>
  <sheetFormatPr defaultRowHeight="14.5" x14ac:dyDescent="0.35"/>
  <cols>
    <col min="1" max="1" width="7.08984375" bestFit="1" customWidth="1"/>
    <col min="2" max="2" width="8.26953125" bestFit="1" customWidth="1"/>
    <col min="3" max="3" width="8.08984375" bestFit="1" customWidth="1"/>
    <col min="4" max="4" width="16.26953125" bestFit="1" customWidth="1"/>
  </cols>
  <sheetData>
    <row r="1" spans="1:4" x14ac:dyDescent="0.35">
      <c r="A1" s="1" t="s">
        <v>690</v>
      </c>
      <c r="B1" s="1" t="s">
        <v>691</v>
      </c>
      <c r="C1" s="1" t="s">
        <v>692</v>
      </c>
      <c r="D1" s="1" t="s">
        <v>693</v>
      </c>
    </row>
    <row r="2" spans="1:4" x14ac:dyDescent="0.35">
      <c r="A2" s="3" t="s">
        <v>694</v>
      </c>
      <c r="B2">
        <v>54</v>
      </c>
      <c r="C2">
        <v>0</v>
      </c>
      <c r="D2">
        <v>9</v>
      </c>
    </row>
    <row r="3" spans="1:4" x14ac:dyDescent="0.35">
      <c r="A3" s="3" t="s">
        <v>695</v>
      </c>
      <c r="B3">
        <v>42</v>
      </c>
      <c r="C3">
        <v>4</v>
      </c>
      <c r="D3">
        <v>9</v>
      </c>
    </row>
    <row r="4" spans="1:4" x14ac:dyDescent="0.35">
      <c r="A4" s="3" t="s">
        <v>696</v>
      </c>
      <c r="B4">
        <v>39</v>
      </c>
      <c r="C4">
        <v>1</v>
      </c>
      <c r="D4">
        <v>11</v>
      </c>
    </row>
    <row r="5" spans="1:4" x14ac:dyDescent="0.35">
      <c r="A5" s="3" t="s">
        <v>697</v>
      </c>
      <c r="B5">
        <v>53</v>
      </c>
      <c r="C5">
        <v>1</v>
      </c>
      <c r="D5">
        <v>8</v>
      </c>
    </row>
    <row r="6" spans="1:4" x14ac:dyDescent="0.35">
      <c r="A6" s="3" t="s">
        <v>698</v>
      </c>
      <c r="B6">
        <v>49</v>
      </c>
      <c r="C6">
        <v>4</v>
      </c>
      <c r="D6">
        <v>9</v>
      </c>
    </row>
    <row r="7" spans="1:4" x14ac:dyDescent="0.35">
      <c r="A7" s="3" t="s">
        <v>699</v>
      </c>
      <c r="B7">
        <v>40</v>
      </c>
      <c r="C7">
        <v>3</v>
      </c>
      <c r="D7">
        <v>7</v>
      </c>
    </row>
    <row r="8" spans="1:4" x14ac:dyDescent="0.35">
      <c r="A8" s="3" t="s">
        <v>700</v>
      </c>
      <c r="B8">
        <v>53</v>
      </c>
      <c r="C8">
        <v>3</v>
      </c>
      <c r="D8">
        <v>13</v>
      </c>
    </row>
    <row r="9" spans="1:4" x14ac:dyDescent="0.35">
      <c r="A9" s="3" t="s">
        <v>701</v>
      </c>
      <c r="B9">
        <v>40</v>
      </c>
      <c r="C9">
        <v>0</v>
      </c>
      <c r="D9">
        <v>11</v>
      </c>
    </row>
    <row r="10" spans="1:4" x14ac:dyDescent="0.35">
      <c r="A10" s="3" t="s">
        <v>702</v>
      </c>
      <c r="B10">
        <v>41</v>
      </c>
      <c r="C10">
        <v>4</v>
      </c>
      <c r="D10">
        <v>11</v>
      </c>
    </row>
    <row r="11" spans="1:4" x14ac:dyDescent="0.35">
      <c r="A11" s="3" t="s">
        <v>703</v>
      </c>
      <c r="B11">
        <v>55</v>
      </c>
      <c r="C11">
        <v>0</v>
      </c>
      <c r="D11">
        <v>13</v>
      </c>
    </row>
    <row r="12" spans="1:4" x14ac:dyDescent="0.35">
      <c r="A12" s="3" t="s">
        <v>704</v>
      </c>
      <c r="B12">
        <v>44</v>
      </c>
      <c r="C12">
        <v>1</v>
      </c>
      <c r="D12">
        <v>8</v>
      </c>
    </row>
    <row r="13" spans="1:4" x14ac:dyDescent="0.35">
      <c r="A13" s="3" t="s">
        <v>705</v>
      </c>
      <c r="B13">
        <v>58</v>
      </c>
      <c r="C13">
        <v>0</v>
      </c>
      <c r="D1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Deviation</vt:lpstr>
      <vt:lpstr>CAPA</vt:lpstr>
      <vt:lpstr>Documents</vt:lpstr>
      <vt:lpstr>Batches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Rathod</dc:creator>
  <cp:lastModifiedBy>Sumit Rathod</cp:lastModifiedBy>
  <dcterms:created xsi:type="dcterms:W3CDTF">2026-10-15T17:53:27Z</dcterms:created>
  <dcterms:modified xsi:type="dcterms:W3CDTF">2026-10-15T17:53:35Z</dcterms:modified>
</cp:coreProperties>
</file>