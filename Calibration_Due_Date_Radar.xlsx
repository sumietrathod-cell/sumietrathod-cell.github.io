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74F2A3DE-AC83-489D-9D13-E8E5F0B1306C}" xr6:coauthVersionLast="47" xr6:coauthVersionMax="47" xr10:uidLastSave="{B640FEDD-9127-472A-8FF5-2445CD58F9AB}"/>
  <bookViews>
    <workbookView xWindow="-110" yWindow="-110" windowWidth="19420" windowHeight="10300" xr2:uid="{5EED0B7E-039C-42C9-A114-1D5DCBAB9205}"/>
  </bookViews>
  <sheets>
    <sheet name="Dashboard" sheetId="3" r:id="rId1"/>
    <sheet name="Calc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3" i="3" l="1"/>
  <c r="T63" i="3"/>
  <c r="O63" i="3"/>
  <c r="J63" i="3"/>
  <c r="B63" i="3"/>
  <c r="Z62" i="3"/>
  <c r="T62" i="3"/>
  <c r="O62" i="3"/>
  <c r="J62" i="3"/>
  <c r="B62" i="3"/>
  <c r="Z61" i="3"/>
  <c r="T61" i="3"/>
  <c r="O61" i="3"/>
  <c r="J61" i="3"/>
  <c r="B61" i="3"/>
  <c r="Z60" i="3"/>
  <c r="T60" i="3"/>
  <c r="O60" i="3"/>
  <c r="J60" i="3"/>
  <c r="B60" i="3"/>
  <c r="Z59" i="3"/>
  <c r="T59" i="3"/>
  <c r="O59" i="3"/>
  <c r="J59" i="3"/>
  <c r="B59" i="3"/>
  <c r="Z58" i="3"/>
  <c r="T58" i="3"/>
  <c r="O58" i="3"/>
  <c r="J58" i="3"/>
  <c r="B58" i="3"/>
  <c r="AC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C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C14" i="3"/>
  <c r="AC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AC12" i="3"/>
  <c r="AA12" i="3"/>
  <c r="Y12" i="3"/>
  <c r="W12" i="3"/>
  <c r="U12" i="3"/>
  <c r="S12" i="3"/>
  <c r="Q12" i="3"/>
  <c r="O12" i="3"/>
  <c r="M12" i="3"/>
  <c r="K12" i="3"/>
  <c r="I12" i="3"/>
  <c r="G12" i="3"/>
  <c r="E12" i="3"/>
  <c r="C12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C11" i="3"/>
  <c r="AA10" i="3"/>
  <c r="Y10" i="3"/>
  <c r="W10" i="3"/>
  <c r="U10" i="3"/>
  <c r="S10" i="3"/>
  <c r="Q10" i="3"/>
  <c r="O10" i="3"/>
  <c r="M10" i="3"/>
  <c r="K10" i="3"/>
  <c r="I10" i="3"/>
  <c r="G10" i="3"/>
  <c r="E10" i="3"/>
  <c r="C10" i="3"/>
  <c r="AA6" i="3"/>
  <c r="U6" i="3"/>
  <c r="O6" i="3"/>
  <c r="I6" i="3"/>
  <c r="C6" i="3"/>
  <c r="L3" i="3"/>
  <c r="C27" i="2"/>
  <c r="B33" i="2"/>
  <c r="B32" i="2"/>
  <c r="B31" i="2"/>
  <c r="B30" i="2"/>
  <c r="B29" i="2"/>
  <c r="B28" i="2"/>
  <c r="B27" i="2"/>
  <c r="B26" i="2"/>
  <c r="B25" i="2"/>
  <c r="B24" i="2"/>
  <c r="B23" i="2"/>
  <c r="B22" i="2"/>
  <c r="Q9" i="2"/>
  <c r="P9" i="2"/>
  <c r="O9" i="2"/>
  <c r="L4" i="2"/>
  <c r="L5" i="2"/>
  <c r="L6" i="2"/>
  <c r="L7" i="2"/>
  <c r="L8" i="2"/>
  <c r="L9" i="2"/>
  <c r="K4" i="2"/>
  <c r="K5" i="2"/>
  <c r="K6" i="2"/>
  <c r="K7" i="2"/>
  <c r="K8" i="2"/>
  <c r="K9" i="2"/>
  <c r="J4" i="2"/>
  <c r="J5" i="2"/>
  <c r="J6" i="2"/>
  <c r="J7" i="2"/>
  <c r="J8" i="2"/>
  <c r="J9" i="2"/>
  <c r="I4" i="2"/>
  <c r="I5" i="2"/>
  <c r="I6" i="2"/>
  <c r="I7" i="2"/>
  <c r="I8" i="2"/>
  <c r="I9" i="2"/>
  <c r="H4" i="2"/>
  <c r="H5" i="2"/>
  <c r="H6" i="2"/>
  <c r="H7" i="2"/>
  <c r="H8" i="2"/>
  <c r="H9" i="2"/>
  <c r="G4" i="2"/>
  <c r="G5" i="2"/>
  <c r="G6" i="2"/>
  <c r="G7" i="2"/>
  <c r="G8" i="2"/>
  <c r="G9" i="2"/>
  <c r="B14" i="2"/>
  <c r="B13" i="2"/>
  <c r="B12" i="2"/>
  <c r="B8" i="2"/>
  <c r="B7" i="2"/>
  <c r="B5" i="2"/>
  <c r="C24" i="2" s="1"/>
  <c r="B4" i="2"/>
  <c r="I29" i="1"/>
  <c r="G2" i="1"/>
  <c r="I2" i="1" s="1"/>
  <c r="G3" i="1"/>
  <c r="I3" i="1" s="1"/>
  <c r="G4" i="1"/>
  <c r="I4" i="1" s="1"/>
  <c r="G5" i="1"/>
  <c r="H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H13" i="1" s="1"/>
  <c r="G14" i="1"/>
  <c r="I14" i="1" s="1"/>
  <c r="G15" i="1"/>
  <c r="I15" i="1" s="1"/>
  <c r="G16" i="1"/>
  <c r="I16" i="1" s="1"/>
  <c r="G17" i="1"/>
  <c r="H17" i="1" s="1"/>
  <c r="G18" i="1"/>
  <c r="I18" i="1" s="1"/>
  <c r="G19" i="1"/>
  <c r="I19" i="1" s="1"/>
  <c r="G20" i="1"/>
  <c r="I20" i="1" s="1"/>
  <c r="G21" i="1"/>
  <c r="H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H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H41" i="1" s="1"/>
  <c r="G42" i="1"/>
  <c r="I42" i="1" s="1"/>
  <c r="G43" i="1"/>
  <c r="I43" i="1" s="1"/>
  <c r="G44" i="1"/>
  <c r="I44" i="1" s="1"/>
  <c r="G45" i="1"/>
  <c r="H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H65" i="1" s="1"/>
  <c r="G66" i="1"/>
  <c r="I66" i="1" s="1"/>
  <c r="G67" i="1"/>
  <c r="I67" i="1" s="1"/>
  <c r="G68" i="1"/>
  <c r="I68" i="1" s="1"/>
  <c r="G69" i="1"/>
  <c r="H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H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H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H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O5" i="2" l="1"/>
  <c r="P5" i="2"/>
  <c r="Q5" i="2"/>
  <c r="C31" i="2"/>
  <c r="C23" i="2"/>
  <c r="O4" i="2"/>
  <c r="P4" i="2"/>
  <c r="Q4" i="2"/>
  <c r="C30" i="2"/>
  <c r="C22" i="2"/>
  <c r="O11" i="2"/>
  <c r="P11" i="2"/>
  <c r="Q11" i="2"/>
  <c r="C29" i="2"/>
  <c r="C21" i="2"/>
  <c r="O10" i="2"/>
  <c r="P10" i="2"/>
  <c r="Q10" i="2"/>
  <c r="C28" i="2"/>
  <c r="P8" i="2"/>
  <c r="Q8" i="2"/>
  <c r="C26" i="2"/>
  <c r="O7" i="2"/>
  <c r="P7" i="2"/>
  <c r="Q7" i="2"/>
  <c r="C33" i="2"/>
  <c r="C25" i="2"/>
  <c r="O8" i="2"/>
  <c r="O6" i="2"/>
  <c r="P6" i="2"/>
  <c r="Q6" i="2"/>
  <c r="C32" i="2"/>
  <c r="H161" i="1"/>
  <c r="H137" i="1"/>
  <c r="H121" i="1"/>
  <c r="H105" i="1"/>
  <c r="H81" i="1"/>
  <c r="H57" i="1"/>
  <c r="H33" i="1"/>
  <c r="H9" i="1"/>
  <c r="I113" i="1"/>
  <c r="I41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153" i="1"/>
  <c r="H129" i="1"/>
  <c r="H97" i="1"/>
  <c r="H73" i="1"/>
  <c r="H49" i="1"/>
  <c r="H25" i="1"/>
  <c r="I89" i="1"/>
  <c r="I65" i="1"/>
  <c r="I1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H145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I21" i="1"/>
  <c r="I13" i="1"/>
  <c r="I5" i="1"/>
  <c r="H149" i="1"/>
  <c r="H141" i="1"/>
  <c r="H125" i="1"/>
  <c r="H93" i="1"/>
  <c r="H77" i="1"/>
  <c r="H61" i="1"/>
  <c r="H37" i="1"/>
  <c r="I101" i="1"/>
  <c r="I69" i="1"/>
  <c r="I45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H157" i="1"/>
  <c r="H133" i="1"/>
  <c r="H117" i="1"/>
  <c r="H85" i="1"/>
  <c r="H5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H109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H2" i="1"/>
  <c r="D21" i="2" l="1"/>
  <c r="D29" i="2"/>
  <c r="D32" i="2"/>
  <c r="D22" i="2"/>
  <c r="D30" i="2"/>
  <c r="D23" i="2"/>
  <c r="D31" i="2"/>
  <c r="D24" i="2"/>
  <c r="D25" i="2"/>
  <c r="D33" i="2"/>
  <c r="D26" i="2"/>
  <c r="D27" i="2"/>
  <c r="D28" i="2"/>
</calcChain>
</file>

<file path=xl/sharedStrings.xml><?xml version="1.0" encoding="utf-8"?>
<sst xmlns="http://schemas.openxmlformats.org/spreadsheetml/2006/main" count="568" uniqueCount="225">
  <si>
    <t>ID</t>
  </si>
  <si>
    <t>Dept</t>
  </si>
  <si>
    <t>Type</t>
  </si>
  <si>
    <t>LastCal</t>
  </si>
  <si>
    <t>IntervalDays</t>
  </si>
  <si>
    <t>INS-1001</t>
  </si>
  <si>
    <t>QC Lab</t>
  </si>
  <si>
    <t>Spectrophotometer</t>
  </si>
  <si>
    <t>INS-1002</t>
  </si>
  <si>
    <t>Microbiology</t>
  </si>
  <si>
    <t>Autoclave Sensor</t>
  </si>
  <si>
    <t>INS-1003</t>
  </si>
  <si>
    <t>INS-1004</t>
  </si>
  <si>
    <t>INS-1005</t>
  </si>
  <si>
    <t>Production</t>
  </si>
  <si>
    <t>Pressure Gauge</t>
  </si>
  <si>
    <t>INS-1006</t>
  </si>
  <si>
    <t>pH Meter</t>
  </si>
  <si>
    <t>INS-1007</t>
  </si>
  <si>
    <t>Engineering</t>
  </si>
  <si>
    <t>Thermometer</t>
  </si>
  <si>
    <t>INS-1008</t>
  </si>
  <si>
    <t>INS-1009</t>
  </si>
  <si>
    <t>INS-1010</t>
  </si>
  <si>
    <t>INS-1011</t>
  </si>
  <si>
    <t>INS-1012</t>
  </si>
  <si>
    <t>INS-1013</t>
  </si>
  <si>
    <t>Balance</t>
  </si>
  <si>
    <t>INS-1014</t>
  </si>
  <si>
    <t>INS-1015</t>
  </si>
  <si>
    <t>INS-1016</t>
  </si>
  <si>
    <t>HPLC</t>
  </si>
  <si>
    <t>INS-1017</t>
  </si>
  <si>
    <t>INS-1018</t>
  </si>
  <si>
    <t>Pipette</t>
  </si>
  <si>
    <t>INS-1019</t>
  </si>
  <si>
    <t>INS-1020</t>
  </si>
  <si>
    <t>INS-1021</t>
  </si>
  <si>
    <t>INS-1022</t>
  </si>
  <si>
    <t>INS-1023</t>
  </si>
  <si>
    <t>INS-1024</t>
  </si>
  <si>
    <t>INS-1025</t>
  </si>
  <si>
    <t>INS-1026</t>
  </si>
  <si>
    <t>INS-1027</t>
  </si>
  <si>
    <t>INS-1028</t>
  </si>
  <si>
    <t>INS-1029</t>
  </si>
  <si>
    <t>INS-1030</t>
  </si>
  <si>
    <t>Warehouse</t>
  </si>
  <si>
    <t>INS-1031</t>
  </si>
  <si>
    <t>INS-1032</t>
  </si>
  <si>
    <t>INS-1033</t>
  </si>
  <si>
    <t>INS-1034</t>
  </si>
  <si>
    <t>INS-1035</t>
  </si>
  <si>
    <t>INS-1036</t>
  </si>
  <si>
    <t>INS-1037</t>
  </si>
  <si>
    <t>INS-1038</t>
  </si>
  <si>
    <t>INS-1039</t>
  </si>
  <si>
    <t>INS-1040</t>
  </si>
  <si>
    <t>INS-1041</t>
  </si>
  <si>
    <t>INS-1042</t>
  </si>
  <si>
    <t>INS-1043</t>
  </si>
  <si>
    <t>INS-1044</t>
  </si>
  <si>
    <t>INS-1045</t>
  </si>
  <si>
    <t>INS-1046</t>
  </si>
  <si>
    <t>INS-1047</t>
  </si>
  <si>
    <t>INS-1048</t>
  </si>
  <si>
    <t>INS-1049</t>
  </si>
  <si>
    <t>INS-1050</t>
  </si>
  <si>
    <t>INS-1051</t>
  </si>
  <si>
    <t>INS-1052</t>
  </si>
  <si>
    <t>INS-1053</t>
  </si>
  <si>
    <t>INS-1054</t>
  </si>
  <si>
    <t>INS-1055</t>
  </si>
  <si>
    <t>INS-1056</t>
  </si>
  <si>
    <t>INS-1057</t>
  </si>
  <si>
    <t>INS-1058</t>
  </si>
  <si>
    <t>INS-1059</t>
  </si>
  <si>
    <t>INS-1060</t>
  </si>
  <si>
    <t>INS-1061</t>
  </si>
  <si>
    <t>INS-1062</t>
  </si>
  <si>
    <t>INS-1063</t>
  </si>
  <si>
    <t>INS-1064</t>
  </si>
  <si>
    <t>INS-1065</t>
  </si>
  <si>
    <t>INS-1066</t>
  </si>
  <si>
    <t>INS-1067</t>
  </si>
  <si>
    <t>INS-1068</t>
  </si>
  <si>
    <t>INS-1069</t>
  </si>
  <si>
    <t>INS-1070</t>
  </si>
  <si>
    <t>INS-1071</t>
  </si>
  <si>
    <t>INS-1072</t>
  </si>
  <si>
    <t>INS-1073</t>
  </si>
  <si>
    <t>INS-1074</t>
  </si>
  <si>
    <t>INS-1075</t>
  </si>
  <si>
    <t>INS-1076</t>
  </si>
  <si>
    <t>INS-1077</t>
  </si>
  <si>
    <t>INS-1078</t>
  </si>
  <si>
    <t>INS-1079</t>
  </si>
  <si>
    <t>INS-1080</t>
  </si>
  <si>
    <t>INS-1081</t>
  </si>
  <si>
    <t>INS-1082</t>
  </si>
  <si>
    <t>INS-1083</t>
  </si>
  <si>
    <t>INS-1084</t>
  </si>
  <si>
    <t>INS-1085</t>
  </si>
  <si>
    <t>INS-1086</t>
  </si>
  <si>
    <t>INS-1087</t>
  </si>
  <si>
    <t>INS-1088</t>
  </si>
  <si>
    <t>INS-1089</t>
  </si>
  <si>
    <t>INS-1090</t>
  </si>
  <si>
    <t>INS-1091</t>
  </si>
  <si>
    <t>INS-1092</t>
  </si>
  <si>
    <t>INS-1093</t>
  </si>
  <si>
    <t>INS-1094</t>
  </si>
  <si>
    <t>INS-1095</t>
  </si>
  <si>
    <t>INS-1096</t>
  </si>
  <si>
    <t>INS-1097</t>
  </si>
  <si>
    <t>INS-1098</t>
  </si>
  <si>
    <t>INS-1099</t>
  </si>
  <si>
    <t>INS-1100</t>
  </si>
  <si>
    <t>INS-1101</t>
  </si>
  <si>
    <t>INS-1102</t>
  </si>
  <si>
    <t>INS-1103</t>
  </si>
  <si>
    <t>INS-1104</t>
  </si>
  <si>
    <t>INS-1105</t>
  </si>
  <si>
    <t>INS-1106</t>
  </si>
  <si>
    <t>INS-1107</t>
  </si>
  <si>
    <t>INS-1108</t>
  </si>
  <si>
    <t>INS-1109</t>
  </si>
  <si>
    <t>INS-1110</t>
  </si>
  <si>
    <t>INS-1111</t>
  </si>
  <si>
    <t>INS-1112</t>
  </si>
  <si>
    <t>INS-1113</t>
  </si>
  <si>
    <t>INS-1114</t>
  </si>
  <si>
    <t>INS-1115</t>
  </si>
  <si>
    <t>INS-1116</t>
  </si>
  <si>
    <t>INS-1117</t>
  </si>
  <si>
    <t>INS-1118</t>
  </si>
  <si>
    <t>INS-1119</t>
  </si>
  <si>
    <t>INS-1120</t>
  </si>
  <si>
    <t>INS-1121</t>
  </si>
  <si>
    <t>INS-1122</t>
  </si>
  <si>
    <t>INS-1123</t>
  </si>
  <si>
    <t>INS-1124</t>
  </si>
  <si>
    <t>INS-1125</t>
  </si>
  <si>
    <t>INS-1126</t>
  </si>
  <si>
    <t>INS-1127</t>
  </si>
  <si>
    <t>INS-1128</t>
  </si>
  <si>
    <t>INS-1129</t>
  </si>
  <si>
    <t>INS-1130</t>
  </si>
  <si>
    <t>INS-1131</t>
  </si>
  <si>
    <t>INS-1132</t>
  </si>
  <si>
    <t>INS-1133</t>
  </si>
  <si>
    <t>INS-1134</t>
  </si>
  <si>
    <t>INS-1135</t>
  </si>
  <si>
    <t>INS-1136</t>
  </si>
  <si>
    <t>INS-1137</t>
  </si>
  <si>
    <t>INS-1138</t>
  </si>
  <si>
    <t>INS-1139</t>
  </si>
  <si>
    <t>INS-1140</t>
  </si>
  <si>
    <t>INS-1141</t>
  </si>
  <si>
    <t>INS-1142</t>
  </si>
  <si>
    <t>INS-1143</t>
  </si>
  <si>
    <t>INS-1144</t>
  </si>
  <si>
    <t>INS-1145</t>
  </si>
  <si>
    <t>INS-1146</t>
  </si>
  <si>
    <t>INS-1147</t>
  </si>
  <si>
    <t>INS-1148</t>
  </si>
  <si>
    <t>INS-1149</t>
  </si>
  <si>
    <t>INS-1150</t>
  </si>
  <si>
    <t>INS-1151</t>
  </si>
  <si>
    <t>INS-1152</t>
  </si>
  <si>
    <t>INS-1153</t>
  </si>
  <si>
    <t>INS-1154</t>
  </si>
  <si>
    <t>INS-1155</t>
  </si>
  <si>
    <t>INS-1156</t>
  </si>
  <si>
    <t>INS-1157</t>
  </si>
  <si>
    <t>INS-1158</t>
  </si>
  <si>
    <t>INS-1159</t>
  </si>
  <si>
    <t>INS-1160</t>
  </si>
  <si>
    <t>DueDate</t>
  </si>
  <si>
    <t>DaysToDue</t>
  </si>
  <si>
    <t>Status</t>
  </si>
  <si>
    <t>Bucket</t>
  </si>
  <si>
    <t>Instrument calibration register - SAMPLE DATA (simulated, no real equipment or company data). Replace columns A:E with your own register; F:I are formulas.</t>
  </si>
  <si>
    <t>Calculation sheet - feeds the Dashboard</t>
  </si>
  <si>
    <t>As-of date (editable)</t>
  </si>
  <si>
    <t>Selected department</t>
  </si>
  <si>
    <t>Department key</t>
  </si>
  <si>
    <t>Longest overdue (days)</t>
  </si>
  <si>
    <t>Next due (days)</t>
  </si>
  <si>
    <t>Status mix (selected dept)</t>
  </si>
  <si>
    <t>Overdue</t>
  </si>
  <si>
    <t>Due in 30 days</t>
  </si>
  <si>
    <t>In date</t>
  </si>
  <si>
    <t>Department</t>
  </si>
  <si>
    <t>Instruments</t>
  </si>
  <si>
    <t>Due 30d</t>
  </si>
  <si>
    <t>On-time %</t>
  </si>
  <si>
    <t>All</t>
  </si>
  <si>
    <t>Total</t>
  </si>
  <si>
    <t>Month</t>
  </si>
  <si>
    <t>Calibrations due</t>
  </si>
  <si>
    <t>Cumulative due</t>
  </si>
  <si>
    <t>CALIBRATION DUE-DATE RADAR</t>
  </si>
  <si>
    <t>Instrument calibration schedule | type x due-month heatmap | as of 09-Oct-2026 | SAMPLE DATA (simulated)</t>
  </si>
  <si>
    <t>DEPARTMENT</t>
  </si>
  <si>
    <t>ON-TIME %</t>
  </si>
  <si>
    <t>instruments in date</t>
  </si>
  <si>
    <t>OVERDUE</t>
  </si>
  <si>
    <t>past calibration due date</t>
  </si>
  <si>
    <t>DUE NEXT 30 DAYS</t>
  </si>
  <si>
    <t>schedule these now</t>
  </si>
  <si>
    <t>LONGEST OVERDUE</t>
  </si>
  <si>
    <t>days past due</t>
  </si>
  <si>
    <t>STATUS</t>
  </si>
  <si>
    <t>on-time threshold 93% / 85%</t>
  </si>
  <si>
    <t>CALIBRATIONS DUE - instrument type (rows) x due month (columns)</t>
  </si>
  <si>
    <t>Instrument type</t>
  </si>
  <si>
    <t>Overdue (red)</t>
  </si>
  <si>
    <t>1 due</t>
  </si>
  <si>
    <t>2-3 due</t>
  </si>
  <si>
    <t>4+ due (crunch)</t>
  </si>
  <si>
    <t>Cell = number of instruments</t>
  </si>
  <si>
    <t>ALL-DEPARTMENT SCORECARD</t>
  </si>
  <si>
    <t>Sample dashboard built with made-up data for portfolio demonstration. Not client work.</t>
  </si>
  <si>
    <t>Simulated register; not a validated system. Replace 'Data' columns A:E with your own register and set the as-of date on 'Calc'.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</si>
</sst>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0.0%"/>
    <numFmt numFmtId="166" formatCode="0&quot; d&quot;"/>
    <numFmt numFmtId="167" formatCode="0;\-0;&quot;-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color rgb="FFE2E8F0"/>
      <name val="Arial"/>
      <family val="2"/>
    </font>
    <font>
      <b/>
      <sz val="22"/>
      <color rgb="FF2DD4BF"/>
      <name val="Arial"/>
      <family val="2"/>
    </font>
    <font>
      <sz val="9"/>
      <color rgb="FFE2E8F0"/>
      <name val="Arial"/>
      <family val="2"/>
    </font>
    <font>
      <sz val="9"/>
      <color rgb="FF94A3B8"/>
      <name val="Arial"/>
      <family val="2"/>
    </font>
    <font>
      <b/>
      <sz val="11"/>
      <color rgb="FF94A3B8"/>
      <name val="Arial"/>
      <family val="2"/>
    </font>
    <font>
      <b/>
      <sz val="12"/>
      <color rgb="FF0F172A"/>
      <name val="Arial"/>
      <family val="2"/>
    </font>
    <font>
      <sz val="8"/>
      <color rgb="FFE2E8F0"/>
      <name val="Arial"/>
      <family val="2"/>
    </font>
    <font>
      <b/>
      <sz val="8"/>
      <color rgb="FF94A3B8"/>
      <name val="Arial"/>
      <family val="2"/>
    </font>
    <font>
      <b/>
      <sz val="20"/>
      <color rgb="FFFFFFFF"/>
      <name val="Arial"/>
      <family val="2"/>
    </font>
    <font>
      <sz val="7"/>
      <color rgb="FF94A3B8"/>
      <name val="Arial"/>
      <family val="2"/>
    </font>
    <font>
      <b/>
      <sz val="12"/>
      <color rgb="FFFFFFFF"/>
      <name val="Arial"/>
      <family val="2"/>
    </font>
    <font>
      <b/>
      <sz val="11"/>
      <color rgb="FF2DD4BF"/>
      <name val="Arial"/>
      <family val="2"/>
    </font>
    <font>
      <b/>
      <sz val="7"/>
      <color rgb="FFE13C3C"/>
      <name val="Arial"/>
      <family val="2"/>
    </font>
    <font>
      <b/>
      <sz val="7"/>
      <color rgb="FF94A3B8"/>
      <name val="Arial"/>
      <family val="2"/>
    </font>
    <font>
      <b/>
      <sz val="9"/>
      <color rgb="FFE2E8F0"/>
      <name val="Arial"/>
      <family val="2"/>
    </font>
    <font>
      <b/>
      <sz val="8"/>
      <color rgb="FFFFFFFF"/>
      <name val="Arial"/>
      <family val="2"/>
    </font>
    <font>
      <b/>
      <sz val="8"/>
      <color rgb="FF0F172A"/>
      <name val="Arial"/>
      <family val="2"/>
    </font>
    <font>
      <i/>
      <sz val="8"/>
      <color rgb="FF94A3B8"/>
      <name val="Arial"/>
      <family val="2"/>
    </font>
    <font>
      <i/>
      <sz val="7"/>
      <color rgb="FF94A3B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5BE3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13C3C"/>
        <bgColor indexed="64"/>
      </patternFill>
    </fill>
    <fill>
      <patternFill patternType="solid">
        <fgColor rgb="FF148C7D"/>
        <bgColor indexed="64"/>
      </patternFill>
    </fill>
    <fill>
      <patternFill patternType="solid">
        <fgColor rgb="FF165A5A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/>
      <right/>
      <top style="thin">
        <color rgb="FF334155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1" fillId="0" borderId="0" xfId="0" applyNumberFormat="1" applyFont="1"/>
    <xf numFmtId="0" fontId="5" fillId="2" borderId="0" xfId="0" applyFont="1" applyFill="1"/>
    <xf numFmtId="0" fontId="6" fillId="3" borderId="0" xfId="0" applyFont="1" applyFill="1"/>
    <xf numFmtId="0" fontId="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indent="1"/>
    </xf>
    <xf numFmtId="0" fontId="10" fillId="3" borderId="0" xfId="0" applyFont="1" applyFill="1"/>
    <xf numFmtId="0" fontId="11" fillId="4" borderId="0" xfId="0" applyFont="1" applyFill="1" applyAlignment="1">
      <alignment horizontal="center"/>
    </xf>
    <xf numFmtId="0" fontId="9" fillId="3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/>
    </xf>
    <xf numFmtId="165" fontId="14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1" fontId="14" fillId="5" borderId="0" xfId="0" applyNumberFormat="1" applyFont="1" applyFill="1" applyAlignment="1">
      <alignment horizontal="center" vertical="center"/>
    </xf>
    <xf numFmtId="166" fontId="14" fillId="5" borderId="0" xfId="0" applyNumberFormat="1" applyFont="1" applyFill="1" applyAlignment="1">
      <alignment horizontal="center" vertical="center"/>
    </xf>
    <xf numFmtId="49" fontId="16" fillId="5" borderId="0" xfId="0" applyNumberFormat="1" applyFont="1" applyFill="1" applyAlignment="1">
      <alignment horizontal="center" vertical="center"/>
    </xf>
    <xf numFmtId="0" fontId="17" fillId="3" borderId="0" xfId="0" applyFont="1" applyFill="1"/>
    <xf numFmtId="0" fontId="15" fillId="3" borderId="0" xfId="0" applyFont="1" applyFill="1"/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2" fillId="3" borderId="0" xfId="0" applyFont="1" applyFill="1" applyAlignment="1">
      <alignment horizontal="right"/>
    </xf>
    <xf numFmtId="167" fontId="8" fillId="5" borderId="1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3" fillId="3" borderId="0" xfId="0" applyFont="1" applyFill="1"/>
    <xf numFmtId="49" fontId="8" fillId="3" borderId="2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left"/>
    </xf>
    <xf numFmtId="49" fontId="8" fillId="3" borderId="3" xfId="0" applyNumberFormat="1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3" borderId="0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8" fillId="3" borderId="0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center"/>
    </xf>
    <xf numFmtId="49" fontId="8" fillId="3" borderId="3" xfId="0" applyNumberFormat="1" applyFont="1" applyFill="1" applyBorder="1" applyAlignment="1">
      <alignment horizontal="left"/>
    </xf>
    <xf numFmtId="49" fontId="8" fillId="3" borderId="2" xfId="0" applyNumberFormat="1" applyFont="1" applyFill="1" applyBorder="1" applyAlignment="1">
      <alignment horizontal="left"/>
    </xf>
    <xf numFmtId="0" fontId="24" fillId="3" borderId="0" xfId="0" applyFont="1" applyFill="1"/>
  </cellXfs>
  <cellStyles count="1">
    <cellStyle name="Normal" xfId="0" builtinId="0"/>
  </cellStyles>
  <dxfs count="17">
    <dxf>
      <font>
        <b/>
        <i val="0"/>
        <color rgb="FFE13C3C"/>
      </font>
    </dxf>
    <dxf>
      <font>
        <b/>
        <i val="0"/>
        <color rgb="FFF5BE3C"/>
      </font>
    </dxf>
    <dxf>
      <font>
        <b/>
        <i val="0"/>
        <color rgb="FF22A06E"/>
      </font>
    </dxf>
    <dxf>
      <font>
        <color rgb="FFFFFFFF"/>
      </font>
      <fill>
        <patternFill>
          <bgColor rgb="FF165A5A"/>
        </patternFill>
      </fill>
    </dxf>
    <dxf>
      <font>
        <color rgb="FFFFFFFF"/>
      </font>
      <fill>
        <patternFill>
          <bgColor rgb="FF148C7D"/>
        </patternFill>
      </fill>
    </dxf>
    <dxf>
      <font>
        <color rgb="FF0F172A"/>
      </font>
      <fill>
        <patternFill>
          <bgColor rgb="FFF5BE3C"/>
        </patternFill>
      </fill>
    </dxf>
    <dxf>
      <font>
        <color rgb="FFFFFFFF"/>
      </font>
      <fill>
        <patternFill>
          <bgColor rgb="FFBE5A3C"/>
        </patternFill>
      </fill>
    </dxf>
    <dxf>
      <font>
        <color rgb="FFFFFFFF"/>
      </font>
      <fill>
        <patternFill>
          <bgColor rgb="FFE13C3C"/>
        </patternFill>
      </fill>
    </dxf>
    <dxf>
      <fill>
        <patternFill>
          <bgColor rgb="FFE13C3C"/>
        </patternFill>
      </fill>
    </dxf>
    <dxf>
      <font>
        <color rgb="FF0F172A"/>
      </font>
      <fill>
        <patternFill>
          <bgColor rgb="FFF5BE3C"/>
        </patternFill>
      </fill>
    </dxf>
    <dxf>
      <fill>
        <patternFill>
          <bgColor rgb="FF22A06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m/yyyy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Calibrations due per month (first bar = overdue backlog)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Calc!$C$20</c:f>
              <c:strCache>
                <c:ptCount val="1"/>
                <c:pt idx="0">
                  <c:v>Calibrations due</c:v>
                </c:pt>
              </c:strCache>
            </c:strRef>
          </c:tx>
          <c:spPr>
            <a:solidFill>
              <a:srgbClr val="2DD4BF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E13C3C"/>
              </a:solidFill>
            </c:spPr>
            <c:extLst>
              <c:ext xmlns:c16="http://schemas.microsoft.com/office/drawing/2014/chart" uri="{C3380CC4-5D6E-409C-BE32-E72D297353CC}">
                <c16:uniqueId val="{0000000B-38FB-4CB3-A5E3-6D8570E2AE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E2E8F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Calc!$B$21:$B$33</c:f>
              <c:strCache>
                <c:ptCount val="13"/>
                <c:pt idx="0">
                  <c:v>Overdue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Sep+</c:v>
                </c:pt>
              </c:strCache>
            </c:strRef>
          </c:cat>
          <c:val>
            <c:numRef>
              <c:f>Calc!$C$21:$C$33</c:f>
              <c:numCache>
                <c:formatCode>General</c:formatCode>
                <c:ptCount val="13"/>
                <c:pt idx="0">
                  <c:v>8</c:v>
                </c:pt>
                <c:pt idx="1">
                  <c:v>26</c:v>
                </c:pt>
                <c:pt idx="2">
                  <c:v>32</c:v>
                </c:pt>
                <c:pt idx="3">
                  <c:v>34</c:v>
                </c:pt>
                <c:pt idx="4">
                  <c:v>19</c:v>
                </c:pt>
                <c:pt idx="5">
                  <c:v>12</c:v>
                </c:pt>
                <c:pt idx="6">
                  <c:v>9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FB-4CB3-A5E3-6D8570E2A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8402335"/>
        <c:axId val="1951039279"/>
      </c:barChart>
      <c:catAx>
        <c:axId val="1978402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51039279"/>
        <c:crosses val="autoZero"/>
        <c:auto val="1"/>
        <c:lblAlgn val="ctr"/>
        <c:lblOffset val="100"/>
        <c:noMultiLvlLbl val="0"/>
      </c:catAx>
      <c:valAx>
        <c:axId val="1951039279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78402335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Status mix - selected department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E13C3C"/>
              </a:solidFill>
            </c:spPr>
            <c:extLst>
              <c:ext xmlns:c16="http://schemas.microsoft.com/office/drawing/2014/chart" uri="{C3380CC4-5D6E-409C-BE32-E72D297353CC}">
                <c16:uniqueId val="{0000000B-1D96-416E-B341-3A7FC2F5C7AA}"/>
              </c:ext>
            </c:extLst>
          </c:dPt>
          <c:dPt>
            <c:idx val="1"/>
            <c:bubble3D val="0"/>
            <c:spPr>
              <a:solidFill>
                <a:srgbClr val="F5BE3C"/>
              </a:solidFill>
            </c:spPr>
            <c:extLst>
              <c:ext xmlns:c16="http://schemas.microsoft.com/office/drawing/2014/chart" uri="{C3380CC4-5D6E-409C-BE32-E72D297353CC}">
                <c16:uniqueId val="{0000000C-1D96-416E-B341-3A7FC2F5C7AA}"/>
              </c:ext>
            </c:extLst>
          </c:dPt>
          <c:dPt>
            <c:idx val="2"/>
            <c:bubble3D val="0"/>
            <c:spPr>
              <a:solidFill>
                <a:srgbClr val="22A06E"/>
              </a:solidFill>
            </c:spPr>
            <c:extLst>
              <c:ext xmlns:c16="http://schemas.microsoft.com/office/drawing/2014/chart" uri="{C3380CC4-5D6E-409C-BE32-E72D297353CC}">
                <c16:uniqueId val="{0000000D-1D96-416E-B341-3A7FC2F5C7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F172A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Calc!$A$12:$A$14</c:f>
              <c:strCache>
                <c:ptCount val="3"/>
                <c:pt idx="0">
                  <c:v>Overdue</c:v>
                </c:pt>
                <c:pt idx="1">
                  <c:v>Due in 30 days</c:v>
                </c:pt>
                <c:pt idx="2">
                  <c:v>In date</c:v>
                </c:pt>
              </c:strCache>
            </c:strRef>
          </c:cat>
          <c:val>
            <c:numRef>
              <c:f>Calc!$B$12:$B$14</c:f>
              <c:numCache>
                <c:formatCode>General</c:formatCode>
                <c:ptCount val="3"/>
                <c:pt idx="0">
                  <c:v>8</c:v>
                </c:pt>
                <c:pt idx="1">
                  <c:v>35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96-416E-B341-3A7FC2F5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Where the pain is: overdue + due in 30 days, by instrument type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Calc!$P$3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E13C3C"/>
            </a:solidFill>
          </c:spPr>
          <c:invertIfNegative val="0"/>
          <c:cat>
            <c:strRef>
              <c:f>Calc!$N$4:$N$11</c:f>
              <c:strCache>
                <c:ptCount val="8"/>
                <c:pt idx="0">
                  <c:v>Balance</c:v>
                </c:pt>
                <c:pt idx="1">
                  <c:v>pH Meter</c:v>
                </c:pt>
                <c:pt idx="2">
                  <c:v>HPLC</c:v>
                </c:pt>
                <c:pt idx="3">
                  <c:v>Thermometer</c:v>
                </c:pt>
                <c:pt idx="4">
                  <c:v>Pressure Gauge</c:v>
                </c:pt>
                <c:pt idx="5">
                  <c:v>Autoclave Sensor</c:v>
                </c:pt>
                <c:pt idx="6">
                  <c:v>Pipette</c:v>
                </c:pt>
                <c:pt idx="7">
                  <c:v>Spectrophotometer</c:v>
                </c:pt>
              </c:strCache>
            </c:strRef>
          </c:cat>
          <c:val>
            <c:numRef>
              <c:f>Calc!$P$4:$P$11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BB-47BC-A2E3-6474BD4EEC7F}"/>
            </c:ext>
          </c:extLst>
        </c:ser>
        <c:ser>
          <c:idx val="1"/>
          <c:order val="1"/>
          <c:tx>
            <c:strRef>
              <c:f>Calc!$Q$3</c:f>
              <c:strCache>
                <c:ptCount val="1"/>
                <c:pt idx="0">
                  <c:v>Due 30d</c:v>
                </c:pt>
              </c:strCache>
            </c:strRef>
          </c:tx>
          <c:spPr>
            <a:solidFill>
              <a:srgbClr val="F5BE3C"/>
            </a:solidFill>
          </c:spPr>
          <c:invertIfNegative val="0"/>
          <c:cat>
            <c:strRef>
              <c:f>Calc!$N$4:$N$11</c:f>
              <c:strCache>
                <c:ptCount val="8"/>
                <c:pt idx="0">
                  <c:v>Balance</c:v>
                </c:pt>
                <c:pt idx="1">
                  <c:v>pH Meter</c:v>
                </c:pt>
                <c:pt idx="2">
                  <c:v>HPLC</c:v>
                </c:pt>
                <c:pt idx="3">
                  <c:v>Thermometer</c:v>
                </c:pt>
                <c:pt idx="4">
                  <c:v>Pressure Gauge</c:v>
                </c:pt>
                <c:pt idx="5">
                  <c:v>Autoclave Sensor</c:v>
                </c:pt>
                <c:pt idx="6">
                  <c:v>Pipette</c:v>
                </c:pt>
                <c:pt idx="7">
                  <c:v>Spectrophotometer</c:v>
                </c:pt>
              </c:strCache>
            </c:strRef>
          </c:cat>
          <c:val>
            <c:numRef>
              <c:f>Calc!$Q$4:$Q$11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BB-47BC-A2E3-6474BD4EE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8406975"/>
        <c:axId val="1950987919"/>
      </c:barChart>
      <c:catAx>
        <c:axId val="1978406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50987919"/>
        <c:crosses val="autoZero"/>
        <c:auto val="1"/>
        <c:lblAlgn val="ctr"/>
        <c:lblOffset val="100"/>
        <c:noMultiLvlLbl val="0"/>
      </c:catAx>
      <c:valAx>
        <c:axId val="1950987919"/>
        <c:scaling>
          <c:orientation val="minMax"/>
        </c:scaling>
        <c:delete val="0"/>
        <c:axPos val="b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78406975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Cumulative calibration workload (backlog + next 12 months)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Calc!$D$20</c:f>
              <c:strCache>
                <c:ptCount val="1"/>
                <c:pt idx="0">
                  <c:v>Cumulative due</c:v>
                </c:pt>
              </c:strCache>
            </c:strRef>
          </c:tx>
          <c:spPr>
            <a:ln>
              <a:solidFill>
                <a:srgbClr val="F5BE3C"/>
              </a:solidFill>
            </a:ln>
          </c:spPr>
          <c:marker>
            <c:spPr>
              <a:solidFill>
                <a:srgbClr val="F5BE3C"/>
              </a:solidFill>
              <a:ln>
                <a:solidFill>
                  <a:srgbClr val="F5BE3C"/>
                </a:solidFill>
                <a:prstDash val="solid"/>
              </a:ln>
            </c:spPr>
          </c:marker>
          <c:cat>
            <c:strRef>
              <c:f>Calc!$B$21:$B$33</c:f>
              <c:strCache>
                <c:ptCount val="13"/>
                <c:pt idx="0">
                  <c:v>Overdue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Sep+</c:v>
                </c:pt>
              </c:strCache>
            </c:strRef>
          </c:cat>
          <c:val>
            <c:numRef>
              <c:f>Calc!$D$21:$D$33</c:f>
              <c:numCache>
                <c:formatCode>General</c:formatCode>
                <c:ptCount val="13"/>
                <c:pt idx="0">
                  <c:v>8</c:v>
                </c:pt>
                <c:pt idx="1">
                  <c:v>34</c:v>
                </c:pt>
                <c:pt idx="2">
                  <c:v>66</c:v>
                </c:pt>
                <c:pt idx="3">
                  <c:v>100</c:v>
                </c:pt>
                <c:pt idx="4">
                  <c:v>119</c:v>
                </c:pt>
                <c:pt idx="5">
                  <c:v>131</c:v>
                </c:pt>
                <c:pt idx="6">
                  <c:v>140</c:v>
                </c:pt>
                <c:pt idx="7">
                  <c:v>143</c:v>
                </c:pt>
                <c:pt idx="8">
                  <c:v>145</c:v>
                </c:pt>
                <c:pt idx="9">
                  <c:v>149</c:v>
                </c:pt>
                <c:pt idx="10">
                  <c:v>156</c:v>
                </c:pt>
                <c:pt idx="11">
                  <c:v>160</c:v>
                </c:pt>
                <c:pt idx="1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75-4D1E-8340-A4DD3D4BF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402799"/>
        <c:axId val="1950989839"/>
      </c:lineChart>
      <c:catAx>
        <c:axId val="1978402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50989839"/>
        <c:crosses val="autoZero"/>
        <c:auto val="1"/>
        <c:lblAlgn val="ctr"/>
        <c:lblOffset val="100"/>
        <c:noMultiLvlLbl val="0"/>
      </c:catAx>
      <c:valAx>
        <c:axId val="1950989839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978402799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14</xdr:col>
      <xdr:colOff>193675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F1B7A-2617-D5B4-1BBE-A6F606D2E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41275</xdr:colOff>
      <xdr:row>21</xdr:row>
      <xdr:rowOff>0</xdr:rowOff>
    </xdr:from>
    <xdr:to>
      <xdr:col>32</xdr:col>
      <xdr:colOff>0</xdr:colOff>
      <xdr:row>37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BF4953-82AE-7613-54FC-300B6C184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14</xdr:col>
      <xdr:colOff>193675</xdr:colOff>
      <xdr:row>54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8D58A-C382-CFE2-F701-A3C7F39D1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41275</xdr:colOff>
      <xdr:row>38</xdr:row>
      <xdr:rowOff>0</xdr:rowOff>
    </xdr:from>
    <xdr:to>
      <xdr:col>32</xdr:col>
      <xdr:colOff>0</xdr:colOff>
      <xdr:row>54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8608A5-ED50-F85C-7D4B-0A48B92AF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97489-CC78-42E5-B2AC-FB90B6D94720}" name="Instruments" displayName="Instruments" ref="A1:I161" totalsRowShown="0" headerRowDxfId="11">
  <autoFilter ref="A1:I161" xr:uid="{10897489-CC78-42E5-B2AC-FB90B6D94720}"/>
  <tableColumns count="9">
    <tableColumn id="1" xr3:uid="{BAE727FA-1A8B-41FE-8983-E3B61A2B001B}" name="ID"/>
    <tableColumn id="2" xr3:uid="{BE8EC7A5-5F24-46E3-9F01-F6BB20D8A2D6}" name="Dept"/>
    <tableColumn id="3" xr3:uid="{8470924B-EF95-4DAE-98EF-035653EE4986}" name="Type"/>
    <tableColumn id="4" xr3:uid="{54CDB3D9-B52D-45A3-9F0A-6479B45B07CA}" name="LastCal" dataDxfId="16"/>
    <tableColumn id="5" xr3:uid="{CD06294F-60B3-4D4D-9CC9-A1A770A9B841}" name="IntervalDays"/>
    <tableColumn id="6" xr3:uid="{0A8530D9-8F12-4389-9080-4C5599F4C534}" name="DueDate" dataDxfId="15">
      <calculatedColumnFormula>D2+E2</calculatedColumnFormula>
    </tableColumn>
    <tableColumn id="7" xr3:uid="{C358358E-2973-416B-9ED2-F6D64D375C38}" name="DaysToDue" dataDxfId="14">
      <calculatedColumnFormula>F2-Calc!$B$3</calculatedColumnFormula>
    </tableColumn>
    <tableColumn id="8" xr3:uid="{DC3A2A23-61A2-4CA7-892B-4B7B1C4C1C1E}" name="Status" dataDxfId="13">
      <calculatedColumnFormula>IF(G2&lt;0,"Overdue",IF(G2&lt;=30,"Due 30d","OK"))</calculatedColumnFormula>
    </tableColumn>
    <tableColumn id="9" xr3:uid="{5519D6CD-C3BA-489E-AD7C-0F9F2E20D671}" name="Bucket" dataDxfId="12">
      <calculatedColumnFormula>IF(G2&lt;0,-1,MIN(11,(YEAR(F2)-YEAR(Calc!$B$3))*12+MONTH(F2)-MONTH(Calc!$B$3)))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F605-7704-4282-9A33-7A2A1FC28B75}">
  <sheetPr>
    <tabColor rgb="FF2DD4BF"/>
  </sheetPr>
  <dimension ref="A1:AH80"/>
  <sheetViews>
    <sheetView showGridLines="0" tabSelected="1" workbookViewId="0">
      <selection activeCell="C3" sqref="C3:J3"/>
    </sheetView>
  </sheetViews>
  <sheetFormatPr defaultRowHeight="14" x14ac:dyDescent="0.3"/>
  <cols>
    <col min="1" max="1" width="2.6328125" style="1" customWidth="1"/>
    <col min="2" max="2" width="16.6328125" style="1" customWidth="1"/>
    <col min="3" max="32" width="4" style="1" customWidth="1"/>
    <col min="33" max="33" width="2.6328125" style="1" customWidth="1"/>
    <col min="34" max="16384" width="8.7265625" style="1"/>
  </cols>
  <sheetData>
    <row r="1" spans="1:34" ht="40" customHeight="1" x14ac:dyDescent="0.3">
      <c r="A1" s="9"/>
      <c r="B1" s="10" t="s">
        <v>202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/>
      <c r="AH1" s="9"/>
    </row>
    <row r="2" spans="1:34" x14ac:dyDescent="0.3">
      <c r="A2" s="9"/>
      <c r="B2" s="11" t="s">
        <v>203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9"/>
      <c r="AH2" s="9"/>
    </row>
    <row r="3" spans="1:34" ht="15.5" x14ac:dyDescent="0.35">
      <c r="A3" s="9"/>
      <c r="B3" s="12" t="s">
        <v>204</v>
      </c>
      <c r="C3" s="13" t="s">
        <v>197</v>
      </c>
      <c r="D3" s="13"/>
      <c r="E3" s="13"/>
      <c r="F3" s="13"/>
      <c r="G3" s="13"/>
      <c r="H3" s="13"/>
      <c r="I3" s="13"/>
      <c r="J3" s="13"/>
      <c r="K3" s="9"/>
      <c r="L3" s="14" t="str">
        <f>"Instruments in view: "&amp;INDEX(Calc!$G$4:$G$9,MATCH($C$3,Calc!$F$4:$F$9,0))&amp;"   |   change the amber cell to switch department"</f>
        <v>Instruments in view: 160   |   change the amber cell to switch department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8" customHeight="1" x14ac:dyDescent="0.3">
      <c r="A5" s="9"/>
      <c r="B5" s="9"/>
      <c r="C5" s="16" t="s">
        <v>205</v>
      </c>
      <c r="D5" s="16"/>
      <c r="E5" s="16"/>
      <c r="F5" s="16"/>
      <c r="G5" s="16"/>
      <c r="H5" s="16"/>
      <c r="I5" s="16" t="s">
        <v>207</v>
      </c>
      <c r="J5" s="16"/>
      <c r="K5" s="16"/>
      <c r="L5" s="16"/>
      <c r="M5" s="16"/>
      <c r="N5" s="16"/>
      <c r="O5" s="16" t="s">
        <v>209</v>
      </c>
      <c r="P5" s="16"/>
      <c r="Q5" s="16"/>
      <c r="R5" s="16"/>
      <c r="S5" s="16"/>
      <c r="T5" s="16"/>
      <c r="U5" s="16" t="s">
        <v>211</v>
      </c>
      <c r="V5" s="16"/>
      <c r="W5" s="16"/>
      <c r="X5" s="16"/>
      <c r="Y5" s="16"/>
      <c r="Z5" s="16"/>
      <c r="AA5" s="16" t="s">
        <v>213</v>
      </c>
      <c r="AB5" s="16"/>
      <c r="AC5" s="16"/>
      <c r="AD5" s="16"/>
      <c r="AE5" s="16"/>
      <c r="AF5" s="16"/>
      <c r="AG5" s="9"/>
      <c r="AH5" s="9"/>
    </row>
    <row r="6" spans="1:34" ht="40" customHeight="1" x14ac:dyDescent="0.3">
      <c r="A6" s="9"/>
      <c r="B6" s="9"/>
      <c r="C6" s="17">
        <f>INDEX(Calc!$K$4:$K$9,MATCH($C$3,Calc!$F$4:$F$9,0))</f>
        <v>0.95</v>
      </c>
      <c r="D6" s="17"/>
      <c r="E6" s="17"/>
      <c r="F6" s="17"/>
      <c r="G6" s="17"/>
      <c r="H6" s="17"/>
      <c r="I6" s="19">
        <f>INDEX(Calc!$H$4:$H$9,MATCH($C$3,Calc!$F$4:$F$9,0))</f>
        <v>8</v>
      </c>
      <c r="J6" s="19"/>
      <c r="K6" s="19"/>
      <c r="L6" s="19"/>
      <c r="M6" s="19"/>
      <c r="N6" s="19"/>
      <c r="O6" s="19">
        <f>INDEX(Calc!$I$4:$I$9,MATCH($C$3,Calc!$F$4:$F$9,0))</f>
        <v>35</v>
      </c>
      <c r="P6" s="19"/>
      <c r="Q6" s="19"/>
      <c r="R6" s="19"/>
      <c r="S6" s="19"/>
      <c r="T6" s="19"/>
      <c r="U6" s="20">
        <f>Calc!$B$7</f>
        <v>59</v>
      </c>
      <c r="V6" s="20"/>
      <c r="W6" s="20"/>
      <c r="X6" s="20"/>
      <c r="Y6" s="20"/>
      <c r="Z6" s="20"/>
      <c r="AA6" s="21" t="str">
        <f>INDEX(Calc!$L$4:$L$9,MATCH($C$3,Calc!$F$4:$F$9,0))</f>
        <v>ON TRACK</v>
      </c>
      <c r="AB6" s="21"/>
      <c r="AC6" s="21"/>
      <c r="AD6" s="21"/>
      <c r="AE6" s="21"/>
      <c r="AF6" s="21"/>
      <c r="AG6" s="9"/>
      <c r="AH6" s="9"/>
    </row>
    <row r="7" spans="1:34" ht="14" customHeight="1" x14ac:dyDescent="0.3">
      <c r="A7" s="9"/>
      <c r="B7" s="9"/>
      <c r="C7" s="18" t="s">
        <v>206</v>
      </c>
      <c r="D7" s="18"/>
      <c r="E7" s="18"/>
      <c r="F7" s="18"/>
      <c r="G7" s="18"/>
      <c r="H7" s="18"/>
      <c r="I7" s="18" t="s">
        <v>208</v>
      </c>
      <c r="J7" s="18"/>
      <c r="K7" s="18"/>
      <c r="L7" s="18"/>
      <c r="M7" s="18"/>
      <c r="N7" s="18"/>
      <c r="O7" s="18" t="s">
        <v>210</v>
      </c>
      <c r="P7" s="18"/>
      <c r="Q7" s="18"/>
      <c r="R7" s="18"/>
      <c r="S7" s="18"/>
      <c r="T7" s="18"/>
      <c r="U7" s="18" t="s">
        <v>212</v>
      </c>
      <c r="V7" s="18"/>
      <c r="W7" s="18"/>
      <c r="X7" s="18"/>
      <c r="Y7" s="18"/>
      <c r="Z7" s="18"/>
      <c r="AA7" s="18" t="s">
        <v>214</v>
      </c>
      <c r="AB7" s="18"/>
      <c r="AC7" s="18"/>
      <c r="AD7" s="18"/>
      <c r="AE7" s="18"/>
      <c r="AF7" s="18"/>
      <c r="AG7" s="9"/>
      <c r="AH7" s="9"/>
    </row>
    <row r="8" spans="1:34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3">
      <c r="A9" s="9"/>
      <c r="B9" s="22" t="s">
        <v>215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x14ac:dyDescent="0.3">
      <c r="A10" s="9"/>
      <c r="B10" s="23" t="s">
        <v>216</v>
      </c>
      <c r="C10" s="24" t="str">
        <f>Calc!$B$21</f>
        <v>Overdue</v>
      </c>
      <c r="D10" s="24"/>
      <c r="E10" s="25" t="str">
        <f>Calc!$B$22</f>
        <v>Oct</v>
      </c>
      <c r="F10" s="25"/>
      <c r="G10" s="25" t="str">
        <f>Calc!$B$23</f>
        <v>Nov</v>
      </c>
      <c r="H10" s="25"/>
      <c r="I10" s="25" t="str">
        <f>Calc!$B$24</f>
        <v>Dec</v>
      </c>
      <c r="J10" s="25"/>
      <c r="K10" s="25" t="str">
        <f>Calc!$B$25</f>
        <v>Jan</v>
      </c>
      <c r="L10" s="25"/>
      <c r="M10" s="25" t="str">
        <f>Calc!$B$26</f>
        <v>Feb</v>
      </c>
      <c r="N10" s="25"/>
      <c r="O10" s="25" t="str">
        <f>Calc!$B$27</f>
        <v>Mar</v>
      </c>
      <c r="P10" s="25"/>
      <c r="Q10" s="25" t="str">
        <f>Calc!$B$28</f>
        <v>Apr</v>
      </c>
      <c r="R10" s="25"/>
      <c r="S10" s="25" t="str">
        <f>Calc!$B$29</f>
        <v>May</v>
      </c>
      <c r="T10" s="25"/>
      <c r="U10" s="25" t="str">
        <f>Calc!$B$30</f>
        <v>Jun</v>
      </c>
      <c r="V10" s="25"/>
      <c r="W10" s="25" t="str">
        <f>Calc!$B$31</f>
        <v>Jul</v>
      </c>
      <c r="X10" s="25"/>
      <c r="Y10" s="25" t="str">
        <f>Calc!$B$32</f>
        <v>Aug</v>
      </c>
      <c r="Z10" s="25"/>
      <c r="AA10" s="25" t="str">
        <f>Calc!$B$33</f>
        <v>Sep+</v>
      </c>
      <c r="AB10" s="25"/>
      <c r="AC10" s="25" t="s">
        <v>198</v>
      </c>
      <c r="AD10" s="25"/>
      <c r="AE10" s="25"/>
      <c r="AF10" s="25"/>
      <c r="AG10" s="9"/>
      <c r="AH10" s="9"/>
    </row>
    <row r="11" spans="1:34" ht="22" customHeight="1" x14ac:dyDescent="0.3">
      <c r="A11" s="9"/>
      <c r="B11" s="26" t="s">
        <v>27</v>
      </c>
      <c r="C11" s="27">
        <f>COUNTIFS(Data!$B$2:$B$161,Calc!$B$5,Data!$C$2:$C$161,$B11,Data!$I$2:$I$161,Calc!$A$21)</f>
        <v>4</v>
      </c>
      <c r="D11" s="27"/>
      <c r="E11" s="27">
        <f>COUNTIFS(Data!$B$2:$B$161,Calc!$B$5,Data!$C$2:$C$161,$B11,Data!$I$2:$I$161,Calc!$A$22)</f>
        <v>5</v>
      </c>
      <c r="F11" s="27"/>
      <c r="G11" s="27">
        <f>COUNTIFS(Data!$B$2:$B$161,Calc!$B$5,Data!$C$2:$C$161,$B11,Data!$I$2:$I$161,Calc!$A$23)</f>
        <v>8</v>
      </c>
      <c r="H11" s="27"/>
      <c r="I11" s="27">
        <f>COUNTIFS(Data!$B$2:$B$161,Calc!$B$5,Data!$C$2:$C$161,$B11,Data!$I$2:$I$161,Calc!$A$24)</f>
        <v>5</v>
      </c>
      <c r="J11" s="27"/>
      <c r="K11" s="27">
        <f>COUNTIFS(Data!$B$2:$B$161,Calc!$B$5,Data!$C$2:$C$161,$B11,Data!$I$2:$I$161,Calc!$A$25)</f>
        <v>0</v>
      </c>
      <c r="L11" s="27"/>
      <c r="M11" s="27">
        <f>COUNTIFS(Data!$B$2:$B$161,Calc!$B$5,Data!$C$2:$C$161,$B11,Data!$I$2:$I$161,Calc!$A$26)</f>
        <v>0</v>
      </c>
      <c r="N11" s="27"/>
      <c r="O11" s="27">
        <f>COUNTIFS(Data!$B$2:$B$161,Calc!$B$5,Data!$C$2:$C$161,$B11,Data!$I$2:$I$161,Calc!$A$27)</f>
        <v>0</v>
      </c>
      <c r="P11" s="27"/>
      <c r="Q11" s="27">
        <f>COUNTIFS(Data!$B$2:$B$161,Calc!$B$5,Data!$C$2:$C$161,$B11,Data!$I$2:$I$161,Calc!$A$28)</f>
        <v>0</v>
      </c>
      <c r="R11" s="27"/>
      <c r="S11" s="27">
        <f>COUNTIFS(Data!$B$2:$B$161,Calc!$B$5,Data!$C$2:$C$161,$B11,Data!$I$2:$I$161,Calc!$A$29)</f>
        <v>0</v>
      </c>
      <c r="T11" s="27"/>
      <c r="U11" s="27">
        <f>COUNTIFS(Data!$B$2:$B$161,Calc!$B$5,Data!$C$2:$C$161,$B11,Data!$I$2:$I$161,Calc!$A$30)</f>
        <v>0</v>
      </c>
      <c r="V11" s="27"/>
      <c r="W11" s="27">
        <f>COUNTIFS(Data!$B$2:$B$161,Calc!$B$5,Data!$C$2:$C$161,$B11,Data!$I$2:$I$161,Calc!$A$31)</f>
        <v>0</v>
      </c>
      <c r="X11" s="27"/>
      <c r="Y11" s="27">
        <f>COUNTIFS(Data!$B$2:$B$161,Calc!$B$5,Data!$C$2:$C$161,$B11,Data!$I$2:$I$161,Calc!$A$32)</f>
        <v>0</v>
      </c>
      <c r="Z11" s="27"/>
      <c r="AA11" s="27">
        <f>COUNTIFS(Data!$B$2:$B$161,Calc!$B$5,Data!$C$2:$C$161,$B11,Data!$I$2:$I$161,Calc!$A$33)</f>
        <v>0</v>
      </c>
      <c r="AB11" s="27"/>
      <c r="AC11" s="28">
        <f t="shared" ref="AC11:AF11" si="0">SUM(C11:AB11)</f>
        <v>22</v>
      </c>
      <c r="AD11" s="28"/>
      <c r="AE11" s="28"/>
      <c r="AF11" s="28"/>
      <c r="AG11" s="9"/>
      <c r="AH11" s="9"/>
    </row>
    <row r="12" spans="1:34" ht="22" customHeight="1" x14ac:dyDescent="0.3">
      <c r="A12" s="9"/>
      <c r="B12" s="26" t="s">
        <v>17</v>
      </c>
      <c r="C12" s="27">
        <f>COUNTIFS(Data!$B$2:$B$161,Calc!$B$5,Data!$C$2:$C$161,$B12,Data!$I$2:$I$161,Calc!$A$21)</f>
        <v>0</v>
      </c>
      <c r="D12" s="27"/>
      <c r="E12" s="27">
        <f>COUNTIFS(Data!$B$2:$B$161,Calc!$B$5,Data!$C$2:$C$161,$B12,Data!$I$2:$I$161,Calc!$A$22)</f>
        <v>5</v>
      </c>
      <c r="F12" s="27"/>
      <c r="G12" s="27">
        <f>COUNTIFS(Data!$B$2:$B$161,Calc!$B$5,Data!$C$2:$C$161,$B12,Data!$I$2:$I$161,Calc!$A$23)</f>
        <v>5</v>
      </c>
      <c r="H12" s="27"/>
      <c r="I12" s="27">
        <f>COUNTIFS(Data!$B$2:$B$161,Calc!$B$5,Data!$C$2:$C$161,$B12,Data!$I$2:$I$161,Calc!$A$24)</f>
        <v>6</v>
      </c>
      <c r="J12" s="27"/>
      <c r="K12" s="27">
        <f>COUNTIFS(Data!$B$2:$B$161,Calc!$B$5,Data!$C$2:$C$161,$B12,Data!$I$2:$I$161,Calc!$A$25)</f>
        <v>0</v>
      </c>
      <c r="L12" s="27"/>
      <c r="M12" s="27">
        <f>COUNTIFS(Data!$B$2:$B$161,Calc!$B$5,Data!$C$2:$C$161,$B12,Data!$I$2:$I$161,Calc!$A$26)</f>
        <v>0</v>
      </c>
      <c r="N12" s="27"/>
      <c r="O12" s="27">
        <f>COUNTIFS(Data!$B$2:$B$161,Calc!$B$5,Data!$C$2:$C$161,$B12,Data!$I$2:$I$161,Calc!$A$27)</f>
        <v>0</v>
      </c>
      <c r="P12" s="27"/>
      <c r="Q12" s="27">
        <f>COUNTIFS(Data!$B$2:$B$161,Calc!$B$5,Data!$C$2:$C$161,$B12,Data!$I$2:$I$161,Calc!$A$28)</f>
        <v>0</v>
      </c>
      <c r="R12" s="27"/>
      <c r="S12" s="27">
        <f>COUNTIFS(Data!$B$2:$B$161,Calc!$B$5,Data!$C$2:$C$161,$B12,Data!$I$2:$I$161,Calc!$A$29)</f>
        <v>0</v>
      </c>
      <c r="T12" s="27"/>
      <c r="U12" s="27">
        <f>COUNTIFS(Data!$B$2:$B$161,Calc!$B$5,Data!$C$2:$C$161,$B12,Data!$I$2:$I$161,Calc!$A$30)</f>
        <v>0</v>
      </c>
      <c r="V12" s="27"/>
      <c r="W12" s="27">
        <f>COUNTIFS(Data!$B$2:$B$161,Calc!$B$5,Data!$C$2:$C$161,$B12,Data!$I$2:$I$161,Calc!$A$31)</f>
        <v>0</v>
      </c>
      <c r="X12" s="27"/>
      <c r="Y12" s="27">
        <f>COUNTIFS(Data!$B$2:$B$161,Calc!$B$5,Data!$C$2:$C$161,$B12,Data!$I$2:$I$161,Calc!$A$32)</f>
        <v>0</v>
      </c>
      <c r="Z12" s="27"/>
      <c r="AA12" s="27">
        <f>COUNTIFS(Data!$B$2:$B$161,Calc!$B$5,Data!$C$2:$C$161,$B12,Data!$I$2:$I$161,Calc!$A$33)</f>
        <v>0</v>
      </c>
      <c r="AB12" s="27"/>
      <c r="AC12" s="28">
        <f t="shared" ref="AC12:AF12" si="1">SUM(C12:AB12)</f>
        <v>16</v>
      </c>
      <c r="AD12" s="28"/>
      <c r="AE12" s="28"/>
      <c r="AF12" s="28"/>
      <c r="AG12" s="9"/>
      <c r="AH12" s="9"/>
    </row>
    <row r="13" spans="1:34" ht="22" customHeight="1" x14ac:dyDescent="0.3">
      <c r="A13" s="9"/>
      <c r="B13" s="26" t="s">
        <v>31</v>
      </c>
      <c r="C13" s="27">
        <f>COUNTIFS(Data!$B$2:$B$161,Calc!$B$5,Data!$C$2:$C$161,$B13,Data!$I$2:$I$161,Calc!$A$21)</f>
        <v>0</v>
      </c>
      <c r="D13" s="27"/>
      <c r="E13" s="27">
        <f>COUNTIFS(Data!$B$2:$B$161,Calc!$B$5,Data!$C$2:$C$161,$B13,Data!$I$2:$I$161,Calc!$A$22)</f>
        <v>2</v>
      </c>
      <c r="F13" s="27"/>
      <c r="G13" s="27">
        <f>COUNTIFS(Data!$B$2:$B$161,Calc!$B$5,Data!$C$2:$C$161,$B13,Data!$I$2:$I$161,Calc!$A$23)</f>
        <v>2</v>
      </c>
      <c r="H13" s="27"/>
      <c r="I13" s="27">
        <f>COUNTIFS(Data!$B$2:$B$161,Calc!$B$5,Data!$C$2:$C$161,$B13,Data!$I$2:$I$161,Calc!$A$24)</f>
        <v>4</v>
      </c>
      <c r="J13" s="27"/>
      <c r="K13" s="27">
        <f>COUNTIFS(Data!$B$2:$B$161,Calc!$B$5,Data!$C$2:$C$161,$B13,Data!$I$2:$I$161,Calc!$A$25)</f>
        <v>3</v>
      </c>
      <c r="L13" s="27"/>
      <c r="M13" s="27">
        <f>COUNTIFS(Data!$B$2:$B$161,Calc!$B$5,Data!$C$2:$C$161,$B13,Data!$I$2:$I$161,Calc!$A$26)</f>
        <v>3</v>
      </c>
      <c r="N13" s="27"/>
      <c r="O13" s="27">
        <f>COUNTIFS(Data!$B$2:$B$161,Calc!$B$5,Data!$C$2:$C$161,$B13,Data!$I$2:$I$161,Calc!$A$27)</f>
        <v>2</v>
      </c>
      <c r="P13" s="27"/>
      <c r="Q13" s="27">
        <f>COUNTIFS(Data!$B$2:$B$161,Calc!$B$5,Data!$C$2:$C$161,$B13,Data!$I$2:$I$161,Calc!$A$28)</f>
        <v>0</v>
      </c>
      <c r="R13" s="27"/>
      <c r="S13" s="27">
        <f>COUNTIFS(Data!$B$2:$B$161,Calc!$B$5,Data!$C$2:$C$161,$B13,Data!$I$2:$I$161,Calc!$A$29)</f>
        <v>0</v>
      </c>
      <c r="T13" s="27"/>
      <c r="U13" s="27">
        <f>COUNTIFS(Data!$B$2:$B$161,Calc!$B$5,Data!$C$2:$C$161,$B13,Data!$I$2:$I$161,Calc!$A$30)</f>
        <v>0</v>
      </c>
      <c r="V13" s="27"/>
      <c r="W13" s="27">
        <f>COUNTIFS(Data!$B$2:$B$161,Calc!$B$5,Data!$C$2:$C$161,$B13,Data!$I$2:$I$161,Calc!$A$31)</f>
        <v>0</v>
      </c>
      <c r="X13" s="27"/>
      <c r="Y13" s="27">
        <f>COUNTIFS(Data!$B$2:$B$161,Calc!$B$5,Data!$C$2:$C$161,$B13,Data!$I$2:$I$161,Calc!$A$32)</f>
        <v>0</v>
      </c>
      <c r="Z13" s="27"/>
      <c r="AA13" s="27">
        <f>COUNTIFS(Data!$B$2:$B$161,Calc!$B$5,Data!$C$2:$C$161,$B13,Data!$I$2:$I$161,Calc!$A$33)</f>
        <v>0</v>
      </c>
      <c r="AB13" s="27"/>
      <c r="AC13" s="28">
        <f t="shared" ref="AC13:AF13" si="2">SUM(C13:AB13)</f>
        <v>16</v>
      </c>
      <c r="AD13" s="28"/>
      <c r="AE13" s="28"/>
      <c r="AF13" s="28"/>
      <c r="AG13" s="9"/>
      <c r="AH13" s="9"/>
    </row>
    <row r="14" spans="1:34" ht="22" customHeight="1" x14ac:dyDescent="0.3">
      <c r="A14" s="9"/>
      <c r="B14" s="26" t="s">
        <v>20</v>
      </c>
      <c r="C14" s="27">
        <f>COUNTIFS(Data!$B$2:$B$161,Calc!$B$5,Data!$C$2:$C$161,$B14,Data!$I$2:$I$161,Calc!$A$21)</f>
        <v>2</v>
      </c>
      <c r="D14" s="27"/>
      <c r="E14" s="27">
        <f>COUNTIFS(Data!$B$2:$B$161,Calc!$B$5,Data!$C$2:$C$161,$B14,Data!$I$2:$I$161,Calc!$A$22)</f>
        <v>0</v>
      </c>
      <c r="F14" s="27"/>
      <c r="G14" s="27">
        <f>COUNTIFS(Data!$B$2:$B$161,Calc!$B$5,Data!$C$2:$C$161,$B14,Data!$I$2:$I$161,Calc!$A$23)</f>
        <v>0</v>
      </c>
      <c r="H14" s="27"/>
      <c r="I14" s="27">
        <f>COUNTIFS(Data!$B$2:$B$161,Calc!$B$5,Data!$C$2:$C$161,$B14,Data!$I$2:$I$161,Calc!$A$24)</f>
        <v>7</v>
      </c>
      <c r="J14" s="27"/>
      <c r="K14" s="27">
        <f>COUNTIFS(Data!$B$2:$B$161,Calc!$B$5,Data!$C$2:$C$161,$B14,Data!$I$2:$I$161,Calc!$A$25)</f>
        <v>1</v>
      </c>
      <c r="L14" s="27"/>
      <c r="M14" s="27">
        <f>COUNTIFS(Data!$B$2:$B$161,Calc!$B$5,Data!$C$2:$C$161,$B14,Data!$I$2:$I$161,Calc!$A$26)</f>
        <v>1</v>
      </c>
      <c r="N14" s="27"/>
      <c r="O14" s="27">
        <f>COUNTIFS(Data!$B$2:$B$161,Calc!$B$5,Data!$C$2:$C$161,$B14,Data!$I$2:$I$161,Calc!$A$27)</f>
        <v>0</v>
      </c>
      <c r="P14" s="27"/>
      <c r="Q14" s="27">
        <f>COUNTIFS(Data!$B$2:$B$161,Calc!$B$5,Data!$C$2:$C$161,$B14,Data!$I$2:$I$161,Calc!$A$28)</f>
        <v>1</v>
      </c>
      <c r="R14" s="27"/>
      <c r="S14" s="27">
        <f>COUNTIFS(Data!$B$2:$B$161,Calc!$B$5,Data!$C$2:$C$161,$B14,Data!$I$2:$I$161,Calc!$A$29)</f>
        <v>0</v>
      </c>
      <c r="T14" s="27"/>
      <c r="U14" s="27">
        <f>COUNTIFS(Data!$B$2:$B$161,Calc!$B$5,Data!$C$2:$C$161,$B14,Data!$I$2:$I$161,Calc!$A$30)</f>
        <v>1</v>
      </c>
      <c r="V14" s="27"/>
      <c r="W14" s="27">
        <f>COUNTIFS(Data!$B$2:$B$161,Calc!$B$5,Data!$C$2:$C$161,$B14,Data!$I$2:$I$161,Calc!$A$31)</f>
        <v>1</v>
      </c>
      <c r="X14" s="27"/>
      <c r="Y14" s="27">
        <f>COUNTIFS(Data!$B$2:$B$161,Calc!$B$5,Data!$C$2:$C$161,$B14,Data!$I$2:$I$161,Calc!$A$32)</f>
        <v>1</v>
      </c>
      <c r="Z14" s="27"/>
      <c r="AA14" s="27">
        <f>COUNTIFS(Data!$B$2:$B$161,Calc!$B$5,Data!$C$2:$C$161,$B14,Data!$I$2:$I$161,Calc!$A$33)</f>
        <v>0</v>
      </c>
      <c r="AB14" s="27"/>
      <c r="AC14" s="28">
        <f t="shared" ref="AC14:AF14" si="3">SUM(C14:AB14)</f>
        <v>15</v>
      </c>
      <c r="AD14" s="28"/>
      <c r="AE14" s="28"/>
      <c r="AF14" s="28"/>
      <c r="AG14" s="9"/>
      <c r="AH14" s="9"/>
    </row>
    <row r="15" spans="1:34" ht="22" customHeight="1" x14ac:dyDescent="0.3">
      <c r="A15" s="9"/>
      <c r="B15" s="26" t="s">
        <v>15</v>
      </c>
      <c r="C15" s="27">
        <f>COUNTIFS(Data!$B$2:$B$161,Calc!$B$5,Data!$C$2:$C$161,$B15,Data!$I$2:$I$161,Calc!$A$21)</f>
        <v>1</v>
      </c>
      <c r="D15" s="27"/>
      <c r="E15" s="27">
        <f>COUNTIFS(Data!$B$2:$B$161,Calc!$B$5,Data!$C$2:$C$161,$B15,Data!$I$2:$I$161,Calc!$A$22)</f>
        <v>4</v>
      </c>
      <c r="F15" s="27"/>
      <c r="G15" s="27">
        <f>COUNTIFS(Data!$B$2:$B$161,Calc!$B$5,Data!$C$2:$C$161,$B15,Data!$I$2:$I$161,Calc!$A$23)</f>
        <v>4</v>
      </c>
      <c r="H15" s="27"/>
      <c r="I15" s="27">
        <f>COUNTIFS(Data!$B$2:$B$161,Calc!$B$5,Data!$C$2:$C$161,$B15,Data!$I$2:$I$161,Calc!$A$24)</f>
        <v>4</v>
      </c>
      <c r="J15" s="27"/>
      <c r="K15" s="27">
        <f>COUNTIFS(Data!$B$2:$B$161,Calc!$B$5,Data!$C$2:$C$161,$B15,Data!$I$2:$I$161,Calc!$A$25)</f>
        <v>2</v>
      </c>
      <c r="L15" s="27"/>
      <c r="M15" s="27">
        <f>COUNTIFS(Data!$B$2:$B$161,Calc!$B$5,Data!$C$2:$C$161,$B15,Data!$I$2:$I$161,Calc!$A$26)</f>
        <v>1</v>
      </c>
      <c r="N15" s="27"/>
      <c r="O15" s="27">
        <f>COUNTIFS(Data!$B$2:$B$161,Calc!$B$5,Data!$C$2:$C$161,$B15,Data!$I$2:$I$161,Calc!$A$27)</f>
        <v>1</v>
      </c>
      <c r="P15" s="27"/>
      <c r="Q15" s="27">
        <f>COUNTIFS(Data!$B$2:$B$161,Calc!$B$5,Data!$C$2:$C$161,$B15,Data!$I$2:$I$161,Calc!$A$28)</f>
        <v>1</v>
      </c>
      <c r="R15" s="27"/>
      <c r="S15" s="27">
        <f>COUNTIFS(Data!$B$2:$B$161,Calc!$B$5,Data!$C$2:$C$161,$B15,Data!$I$2:$I$161,Calc!$A$29)</f>
        <v>0</v>
      </c>
      <c r="T15" s="27"/>
      <c r="U15" s="27">
        <f>COUNTIFS(Data!$B$2:$B$161,Calc!$B$5,Data!$C$2:$C$161,$B15,Data!$I$2:$I$161,Calc!$A$30)</f>
        <v>2</v>
      </c>
      <c r="V15" s="27"/>
      <c r="W15" s="27">
        <f>COUNTIFS(Data!$B$2:$B$161,Calc!$B$5,Data!$C$2:$C$161,$B15,Data!$I$2:$I$161,Calc!$A$31)</f>
        <v>1</v>
      </c>
      <c r="X15" s="27"/>
      <c r="Y15" s="27">
        <f>COUNTIFS(Data!$B$2:$B$161,Calc!$B$5,Data!$C$2:$C$161,$B15,Data!$I$2:$I$161,Calc!$A$32)</f>
        <v>0</v>
      </c>
      <c r="Z15" s="27"/>
      <c r="AA15" s="27">
        <f>COUNTIFS(Data!$B$2:$B$161,Calc!$B$5,Data!$C$2:$C$161,$B15,Data!$I$2:$I$161,Calc!$A$33)</f>
        <v>0</v>
      </c>
      <c r="AB15" s="27"/>
      <c r="AC15" s="28">
        <f t="shared" ref="AC15:AF15" si="4">SUM(C15:AB15)</f>
        <v>21</v>
      </c>
      <c r="AD15" s="28"/>
      <c r="AE15" s="28"/>
      <c r="AF15" s="28"/>
      <c r="AG15" s="9"/>
      <c r="AH15" s="9"/>
    </row>
    <row r="16" spans="1:34" ht="22" customHeight="1" x14ac:dyDescent="0.3">
      <c r="A16" s="9"/>
      <c r="B16" s="26" t="s">
        <v>10</v>
      </c>
      <c r="C16" s="27">
        <f>COUNTIFS(Data!$B$2:$B$161,Calc!$B$5,Data!$C$2:$C$161,$B16,Data!$I$2:$I$161,Calc!$A$21)</f>
        <v>1</v>
      </c>
      <c r="D16" s="27"/>
      <c r="E16" s="27">
        <f>COUNTIFS(Data!$B$2:$B$161,Calc!$B$5,Data!$C$2:$C$161,$B16,Data!$I$2:$I$161,Calc!$A$22)</f>
        <v>4</v>
      </c>
      <c r="F16" s="27"/>
      <c r="G16" s="27">
        <f>COUNTIFS(Data!$B$2:$B$161,Calc!$B$5,Data!$C$2:$C$161,$B16,Data!$I$2:$I$161,Calc!$A$23)</f>
        <v>4</v>
      </c>
      <c r="H16" s="27"/>
      <c r="I16" s="27">
        <f>COUNTIFS(Data!$B$2:$B$161,Calc!$B$5,Data!$C$2:$C$161,$B16,Data!$I$2:$I$161,Calc!$A$24)</f>
        <v>3</v>
      </c>
      <c r="J16" s="27"/>
      <c r="K16" s="27">
        <f>COUNTIFS(Data!$B$2:$B$161,Calc!$B$5,Data!$C$2:$C$161,$B16,Data!$I$2:$I$161,Calc!$A$25)</f>
        <v>7</v>
      </c>
      <c r="L16" s="27"/>
      <c r="M16" s="27">
        <f>COUNTIFS(Data!$B$2:$B$161,Calc!$B$5,Data!$C$2:$C$161,$B16,Data!$I$2:$I$161,Calc!$A$26)</f>
        <v>3</v>
      </c>
      <c r="N16" s="27"/>
      <c r="O16" s="27">
        <f>COUNTIFS(Data!$B$2:$B$161,Calc!$B$5,Data!$C$2:$C$161,$B16,Data!$I$2:$I$161,Calc!$A$27)</f>
        <v>1</v>
      </c>
      <c r="P16" s="27"/>
      <c r="Q16" s="27">
        <f>COUNTIFS(Data!$B$2:$B$161,Calc!$B$5,Data!$C$2:$C$161,$B16,Data!$I$2:$I$161,Calc!$A$28)</f>
        <v>0</v>
      </c>
      <c r="R16" s="27"/>
      <c r="S16" s="27">
        <f>COUNTIFS(Data!$B$2:$B$161,Calc!$B$5,Data!$C$2:$C$161,$B16,Data!$I$2:$I$161,Calc!$A$29)</f>
        <v>0</v>
      </c>
      <c r="T16" s="27"/>
      <c r="U16" s="27">
        <f>COUNTIFS(Data!$B$2:$B$161,Calc!$B$5,Data!$C$2:$C$161,$B16,Data!$I$2:$I$161,Calc!$A$30)</f>
        <v>0</v>
      </c>
      <c r="V16" s="27"/>
      <c r="W16" s="27">
        <f>COUNTIFS(Data!$B$2:$B$161,Calc!$B$5,Data!$C$2:$C$161,$B16,Data!$I$2:$I$161,Calc!$A$31)</f>
        <v>0</v>
      </c>
      <c r="X16" s="27"/>
      <c r="Y16" s="27">
        <f>COUNTIFS(Data!$B$2:$B$161,Calc!$B$5,Data!$C$2:$C$161,$B16,Data!$I$2:$I$161,Calc!$A$32)</f>
        <v>0</v>
      </c>
      <c r="Z16" s="27"/>
      <c r="AA16" s="27">
        <f>COUNTIFS(Data!$B$2:$B$161,Calc!$B$5,Data!$C$2:$C$161,$B16,Data!$I$2:$I$161,Calc!$A$33)</f>
        <v>0</v>
      </c>
      <c r="AB16" s="27"/>
      <c r="AC16" s="28">
        <f t="shared" ref="AC16:AF16" si="5">SUM(C16:AB16)</f>
        <v>23</v>
      </c>
      <c r="AD16" s="28"/>
      <c r="AE16" s="28"/>
      <c r="AF16" s="28"/>
      <c r="AG16" s="9"/>
      <c r="AH16" s="9"/>
    </row>
    <row r="17" spans="1:34" ht="22" customHeight="1" x14ac:dyDescent="0.3">
      <c r="A17" s="9"/>
      <c r="B17" s="26" t="s">
        <v>34</v>
      </c>
      <c r="C17" s="27">
        <f>COUNTIFS(Data!$B$2:$B$161,Calc!$B$5,Data!$C$2:$C$161,$B17,Data!$I$2:$I$161,Calc!$A$21)</f>
        <v>0</v>
      </c>
      <c r="D17" s="27"/>
      <c r="E17" s="27">
        <f>COUNTIFS(Data!$B$2:$B$161,Calc!$B$5,Data!$C$2:$C$161,$B17,Data!$I$2:$I$161,Calc!$A$22)</f>
        <v>2</v>
      </c>
      <c r="F17" s="27"/>
      <c r="G17" s="27">
        <f>COUNTIFS(Data!$B$2:$B$161,Calc!$B$5,Data!$C$2:$C$161,$B17,Data!$I$2:$I$161,Calc!$A$23)</f>
        <v>6</v>
      </c>
      <c r="H17" s="27"/>
      <c r="I17" s="27">
        <f>COUNTIFS(Data!$B$2:$B$161,Calc!$B$5,Data!$C$2:$C$161,$B17,Data!$I$2:$I$161,Calc!$A$24)</f>
        <v>3</v>
      </c>
      <c r="J17" s="27"/>
      <c r="K17" s="27">
        <f>COUNTIFS(Data!$B$2:$B$161,Calc!$B$5,Data!$C$2:$C$161,$B17,Data!$I$2:$I$161,Calc!$A$25)</f>
        <v>4</v>
      </c>
      <c r="L17" s="27"/>
      <c r="M17" s="27">
        <f>COUNTIFS(Data!$B$2:$B$161,Calc!$B$5,Data!$C$2:$C$161,$B17,Data!$I$2:$I$161,Calc!$A$26)</f>
        <v>1</v>
      </c>
      <c r="N17" s="27"/>
      <c r="O17" s="27">
        <f>COUNTIFS(Data!$B$2:$B$161,Calc!$B$5,Data!$C$2:$C$161,$B17,Data!$I$2:$I$161,Calc!$A$27)</f>
        <v>2</v>
      </c>
      <c r="P17" s="27"/>
      <c r="Q17" s="27">
        <f>COUNTIFS(Data!$B$2:$B$161,Calc!$B$5,Data!$C$2:$C$161,$B17,Data!$I$2:$I$161,Calc!$A$28)</f>
        <v>0</v>
      </c>
      <c r="R17" s="27"/>
      <c r="S17" s="27">
        <f>COUNTIFS(Data!$B$2:$B$161,Calc!$B$5,Data!$C$2:$C$161,$B17,Data!$I$2:$I$161,Calc!$A$29)</f>
        <v>0</v>
      </c>
      <c r="T17" s="27"/>
      <c r="U17" s="27">
        <f>COUNTIFS(Data!$B$2:$B$161,Calc!$B$5,Data!$C$2:$C$161,$B17,Data!$I$2:$I$161,Calc!$A$30)</f>
        <v>0</v>
      </c>
      <c r="V17" s="27"/>
      <c r="W17" s="27">
        <f>COUNTIFS(Data!$B$2:$B$161,Calc!$B$5,Data!$C$2:$C$161,$B17,Data!$I$2:$I$161,Calc!$A$31)</f>
        <v>0</v>
      </c>
      <c r="X17" s="27"/>
      <c r="Y17" s="27">
        <f>COUNTIFS(Data!$B$2:$B$161,Calc!$B$5,Data!$C$2:$C$161,$B17,Data!$I$2:$I$161,Calc!$A$32)</f>
        <v>0</v>
      </c>
      <c r="Z17" s="27"/>
      <c r="AA17" s="27">
        <f>COUNTIFS(Data!$B$2:$B$161,Calc!$B$5,Data!$C$2:$C$161,$B17,Data!$I$2:$I$161,Calc!$A$33)</f>
        <v>0</v>
      </c>
      <c r="AB17" s="27"/>
      <c r="AC17" s="28">
        <f t="shared" ref="AC17:AF17" si="6">SUM(C17:AB17)</f>
        <v>18</v>
      </c>
      <c r="AD17" s="28"/>
      <c r="AE17" s="28"/>
      <c r="AF17" s="28"/>
      <c r="AG17" s="9"/>
      <c r="AH17" s="9"/>
    </row>
    <row r="18" spans="1:34" ht="22" customHeight="1" x14ac:dyDescent="0.3">
      <c r="A18" s="9"/>
      <c r="B18" s="26" t="s">
        <v>7</v>
      </c>
      <c r="C18" s="27">
        <f>COUNTIFS(Data!$B$2:$B$161,Calc!$B$5,Data!$C$2:$C$161,$B18,Data!$I$2:$I$161,Calc!$A$21)</f>
        <v>0</v>
      </c>
      <c r="D18" s="27"/>
      <c r="E18" s="27">
        <f>COUNTIFS(Data!$B$2:$B$161,Calc!$B$5,Data!$C$2:$C$161,$B18,Data!$I$2:$I$161,Calc!$A$22)</f>
        <v>4</v>
      </c>
      <c r="F18" s="27"/>
      <c r="G18" s="27">
        <f>COUNTIFS(Data!$B$2:$B$161,Calc!$B$5,Data!$C$2:$C$161,$B18,Data!$I$2:$I$161,Calc!$A$23)</f>
        <v>3</v>
      </c>
      <c r="H18" s="27"/>
      <c r="I18" s="27">
        <f>COUNTIFS(Data!$B$2:$B$161,Calc!$B$5,Data!$C$2:$C$161,$B18,Data!$I$2:$I$161,Calc!$A$24)</f>
        <v>2</v>
      </c>
      <c r="J18" s="27"/>
      <c r="K18" s="27">
        <f>COUNTIFS(Data!$B$2:$B$161,Calc!$B$5,Data!$C$2:$C$161,$B18,Data!$I$2:$I$161,Calc!$A$25)</f>
        <v>2</v>
      </c>
      <c r="L18" s="27"/>
      <c r="M18" s="27">
        <f>COUNTIFS(Data!$B$2:$B$161,Calc!$B$5,Data!$C$2:$C$161,$B18,Data!$I$2:$I$161,Calc!$A$26)</f>
        <v>3</v>
      </c>
      <c r="N18" s="27"/>
      <c r="O18" s="27">
        <f>COUNTIFS(Data!$B$2:$B$161,Calc!$B$5,Data!$C$2:$C$161,$B18,Data!$I$2:$I$161,Calc!$A$27)</f>
        <v>3</v>
      </c>
      <c r="P18" s="27"/>
      <c r="Q18" s="27">
        <f>COUNTIFS(Data!$B$2:$B$161,Calc!$B$5,Data!$C$2:$C$161,$B18,Data!$I$2:$I$161,Calc!$A$28)</f>
        <v>1</v>
      </c>
      <c r="R18" s="27"/>
      <c r="S18" s="27">
        <f>COUNTIFS(Data!$B$2:$B$161,Calc!$B$5,Data!$C$2:$C$161,$B18,Data!$I$2:$I$161,Calc!$A$29)</f>
        <v>2</v>
      </c>
      <c r="T18" s="27"/>
      <c r="U18" s="27">
        <f>COUNTIFS(Data!$B$2:$B$161,Calc!$B$5,Data!$C$2:$C$161,$B18,Data!$I$2:$I$161,Calc!$A$30)</f>
        <v>1</v>
      </c>
      <c r="V18" s="27"/>
      <c r="W18" s="27">
        <f>COUNTIFS(Data!$B$2:$B$161,Calc!$B$5,Data!$C$2:$C$161,$B18,Data!$I$2:$I$161,Calc!$A$31)</f>
        <v>5</v>
      </c>
      <c r="X18" s="27"/>
      <c r="Y18" s="27">
        <f>COUNTIFS(Data!$B$2:$B$161,Calc!$B$5,Data!$C$2:$C$161,$B18,Data!$I$2:$I$161,Calc!$A$32)</f>
        <v>3</v>
      </c>
      <c r="Z18" s="27"/>
      <c r="AA18" s="27">
        <f>COUNTIFS(Data!$B$2:$B$161,Calc!$B$5,Data!$C$2:$C$161,$B18,Data!$I$2:$I$161,Calc!$A$33)</f>
        <v>0</v>
      </c>
      <c r="AB18" s="27"/>
      <c r="AC18" s="28">
        <f t="shared" ref="AC18:AF18" si="7">SUM(C18:AB18)</f>
        <v>29</v>
      </c>
      <c r="AD18" s="28"/>
      <c r="AE18" s="28"/>
      <c r="AF18" s="28"/>
      <c r="AG18" s="9"/>
      <c r="AH18" s="9"/>
    </row>
    <row r="19" spans="1:3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x14ac:dyDescent="0.3">
      <c r="A20" s="9"/>
      <c r="B20" s="9"/>
      <c r="C20" s="29" t="s">
        <v>217</v>
      </c>
      <c r="D20" s="29"/>
      <c r="E20" s="29"/>
      <c r="F20" s="29"/>
      <c r="G20" s="29"/>
      <c r="H20" s="29"/>
      <c r="I20" s="30" t="s">
        <v>218</v>
      </c>
      <c r="J20" s="30"/>
      <c r="K20" s="30"/>
      <c r="L20" s="30"/>
      <c r="M20" s="30"/>
      <c r="N20" s="30"/>
      <c r="O20" s="31" t="s">
        <v>219</v>
      </c>
      <c r="P20" s="31"/>
      <c r="Q20" s="31"/>
      <c r="R20" s="31"/>
      <c r="S20" s="31"/>
      <c r="T20" s="31"/>
      <c r="U20" s="32" t="s">
        <v>220</v>
      </c>
      <c r="V20" s="32"/>
      <c r="W20" s="32"/>
      <c r="X20" s="32"/>
      <c r="Y20" s="32"/>
      <c r="Z20" s="32"/>
      <c r="AA20" s="33" t="s">
        <v>221</v>
      </c>
      <c r="AB20" s="9"/>
      <c r="AC20" s="9"/>
      <c r="AD20" s="9"/>
      <c r="AE20" s="9"/>
      <c r="AF20" s="9"/>
      <c r="AG20" s="9"/>
      <c r="AH20" s="9"/>
    </row>
    <row r="21" spans="1:3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x14ac:dyDescent="0.3">
      <c r="A56" s="9"/>
      <c r="B56" s="22" t="s">
        <v>222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3">
      <c r="A57" s="9"/>
      <c r="B57" s="15" t="s">
        <v>193</v>
      </c>
      <c r="C57" s="15"/>
      <c r="D57" s="15"/>
      <c r="E57" s="15"/>
      <c r="F57" s="15"/>
      <c r="G57" s="15"/>
      <c r="H57" s="15"/>
      <c r="I57" s="15"/>
      <c r="J57" s="15" t="s">
        <v>194</v>
      </c>
      <c r="K57" s="15"/>
      <c r="L57" s="15"/>
      <c r="M57" s="15"/>
      <c r="N57" s="15"/>
      <c r="O57" s="15" t="s">
        <v>190</v>
      </c>
      <c r="P57" s="15"/>
      <c r="Q57" s="15"/>
      <c r="R57" s="15"/>
      <c r="S57" s="15"/>
      <c r="T57" s="15" t="s">
        <v>196</v>
      </c>
      <c r="U57" s="15"/>
      <c r="V57" s="15"/>
      <c r="W57" s="15"/>
      <c r="X57" s="15"/>
      <c r="Y57" s="15"/>
      <c r="Z57" s="15" t="s">
        <v>180</v>
      </c>
      <c r="AA57" s="15"/>
      <c r="AB57" s="15"/>
      <c r="AC57" s="15"/>
      <c r="AD57" s="15"/>
      <c r="AE57" s="15"/>
      <c r="AF57" s="15"/>
      <c r="AG57" s="9"/>
      <c r="AH57" s="9"/>
    </row>
    <row r="58" spans="1:34" x14ac:dyDescent="0.3">
      <c r="A58" s="9"/>
      <c r="B58" s="35" t="str">
        <f>Calc!F4</f>
        <v>QC Lab</v>
      </c>
      <c r="C58" s="35"/>
      <c r="D58" s="35"/>
      <c r="E58" s="35"/>
      <c r="F58" s="35"/>
      <c r="G58" s="35"/>
      <c r="H58" s="35"/>
      <c r="I58" s="35"/>
      <c r="J58" s="38">
        <f>Calc!G4</f>
        <v>74</v>
      </c>
      <c r="K58" s="38"/>
      <c r="L58" s="38"/>
      <c r="M58" s="38"/>
      <c r="N58" s="38"/>
      <c r="O58" s="38">
        <f>Calc!H4</f>
        <v>0</v>
      </c>
      <c r="P58" s="38"/>
      <c r="Q58" s="38"/>
      <c r="R58" s="38"/>
      <c r="S58" s="38"/>
      <c r="T58" s="41">
        <f>Calc!K4</f>
        <v>1</v>
      </c>
      <c r="U58" s="41"/>
      <c r="V58" s="41"/>
      <c r="W58" s="41"/>
      <c r="X58" s="41"/>
      <c r="Y58" s="41"/>
      <c r="Z58" s="43" t="str">
        <f>Calc!L4</f>
        <v>ON TRACK</v>
      </c>
      <c r="AA58" s="43"/>
      <c r="AB58" s="43"/>
      <c r="AC58" s="43"/>
      <c r="AD58" s="43"/>
      <c r="AE58" s="43"/>
      <c r="AF58" s="43"/>
      <c r="AG58" s="9"/>
      <c r="AH58" s="9"/>
    </row>
    <row r="59" spans="1:34" x14ac:dyDescent="0.3">
      <c r="A59" s="9"/>
      <c r="B59" s="45" t="str">
        <f>Calc!F5</f>
        <v>Production</v>
      </c>
      <c r="C59" s="45"/>
      <c r="D59" s="45"/>
      <c r="E59" s="45"/>
      <c r="F59" s="45"/>
      <c r="G59" s="45"/>
      <c r="H59" s="45"/>
      <c r="I59" s="45"/>
      <c r="J59" s="37">
        <f>Calc!G5</f>
        <v>32</v>
      </c>
      <c r="K59" s="37"/>
      <c r="L59" s="37"/>
      <c r="M59" s="37"/>
      <c r="N59" s="37"/>
      <c r="O59" s="37">
        <f>Calc!H5</f>
        <v>5</v>
      </c>
      <c r="P59" s="37"/>
      <c r="Q59" s="37"/>
      <c r="R59" s="37"/>
      <c r="S59" s="37"/>
      <c r="T59" s="40">
        <f>Calc!K5</f>
        <v>0.84375</v>
      </c>
      <c r="U59" s="40"/>
      <c r="V59" s="40"/>
      <c r="W59" s="40"/>
      <c r="X59" s="40"/>
      <c r="Y59" s="40"/>
      <c r="Z59" s="34" t="str">
        <f>Calc!L5</f>
        <v>ACTION NEEDED</v>
      </c>
      <c r="AA59" s="34"/>
      <c r="AB59" s="34"/>
      <c r="AC59" s="34"/>
      <c r="AD59" s="34"/>
      <c r="AE59" s="34"/>
      <c r="AF59" s="34"/>
      <c r="AG59" s="9"/>
      <c r="AH59" s="9"/>
    </row>
    <row r="60" spans="1:34" x14ac:dyDescent="0.3">
      <c r="A60" s="9"/>
      <c r="B60" s="45" t="str">
        <f>Calc!F6</f>
        <v>Warehouse</v>
      </c>
      <c r="C60" s="45"/>
      <c r="D60" s="45"/>
      <c r="E60" s="45"/>
      <c r="F60" s="45"/>
      <c r="G60" s="45"/>
      <c r="H60" s="45"/>
      <c r="I60" s="45"/>
      <c r="J60" s="37">
        <f>Calc!G6</f>
        <v>11</v>
      </c>
      <c r="K60" s="37"/>
      <c r="L60" s="37"/>
      <c r="M60" s="37"/>
      <c r="N60" s="37"/>
      <c r="O60" s="37">
        <f>Calc!H6</f>
        <v>1</v>
      </c>
      <c r="P60" s="37"/>
      <c r="Q60" s="37"/>
      <c r="R60" s="37"/>
      <c r="S60" s="37"/>
      <c r="T60" s="40">
        <f>Calc!K6</f>
        <v>0.90909090909090906</v>
      </c>
      <c r="U60" s="40"/>
      <c r="V60" s="40"/>
      <c r="W60" s="40"/>
      <c r="X60" s="40"/>
      <c r="Y60" s="40"/>
      <c r="Z60" s="34" t="str">
        <f>Calc!L6</f>
        <v>WATCH</v>
      </c>
      <c r="AA60" s="34"/>
      <c r="AB60" s="34"/>
      <c r="AC60" s="34"/>
      <c r="AD60" s="34"/>
      <c r="AE60" s="34"/>
      <c r="AF60" s="34"/>
      <c r="AG60" s="9"/>
      <c r="AH60" s="9"/>
    </row>
    <row r="61" spans="1:34" x14ac:dyDescent="0.3">
      <c r="A61" s="9"/>
      <c r="B61" s="45" t="str">
        <f>Calc!F7</f>
        <v>Engineering</v>
      </c>
      <c r="C61" s="45"/>
      <c r="D61" s="45"/>
      <c r="E61" s="45"/>
      <c r="F61" s="45"/>
      <c r="G61" s="45"/>
      <c r="H61" s="45"/>
      <c r="I61" s="45"/>
      <c r="J61" s="37">
        <f>Calc!G7</f>
        <v>11</v>
      </c>
      <c r="K61" s="37"/>
      <c r="L61" s="37"/>
      <c r="M61" s="37"/>
      <c r="N61" s="37"/>
      <c r="O61" s="37">
        <f>Calc!H7</f>
        <v>0</v>
      </c>
      <c r="P61" s="37"/>
      <c r="Q61" s="37"/>
      <c r="R61" s="37"/>
      <c r="S61" s="37"/>
      <c r="T61" s="40">
        <f>Calc!K7</f>
        <v>1</v>
      </c>
      <c r="U61" s="40"/>
      <c r="V61" s="40"/>
      <c r="W61" s="40"/>
      <c r="X61" s="40"/>
      <c r="Y61" s="40"/>
      <c r="Z61" s="34" t="str">
        <f>Calc!L7</f>
        <v>ON TRACK</v>
      </c>
      <c r="AA61" s="34"/>
      <c r="AB61" s="34"/>
      <c r="AC61" s="34"/>
      <c r="AD61" s="34"/>
      <c r="AE61" s="34"/>
      <c r="AF61" s="34"/>
      <c r="AG61" s="9"/>
      <c r="AH61" s="9"/>
    </row>
    <row r="62" spans="1:34" x14ac:dyDescent="0.3">
      <c r="A62" s="9"/>
      <c r="B62" s="45" t="str">
        <f>Calc!F8</f>
        <v>Microbiology</v>
      </c>
      <c r="C62" s="45"/>
      <c r="D62" s="45"/>
      <c r="E62" s="45"/>
      <c r="F62" s="45"/>
      <c r="G62" s="45"/>
      <c r="H62" s="45"/>
      <c r="I62" s="45"/>
      <c r="J62" s="37">
        <f>Calc!G8</f>
        <v>32</v>
      </c>
      <c r="K62" s="37"/>
      <c r="L62" s="37"/>
      <c r="M62" s="37"/>
      <c r="N62" s="37"/>
      <c r="O62" s="37">
        <f>Calc!H8</f>
        <v>2</v>
      </c>
      <c r="P62" s="37"/>
      <c r="Q62" s="37"/>
      <c r="R62" s="37"/>
      <c r="S62" s="37"/>
      <c r="T62" s="40">
        <f>Calc!K8</f>
        <v>0.9375</v>
      </c>
      <c r="U62" s="40"/>
      <c r="V62" s="40"/>
      <c r="W62" s="40"/>
      <c r="X62" s="40"/>
      <c r="Y62" s="40"/>
      <c r="Z62" s="34" t="str">
        <f>Calc!L8</f>
        <v>ON TRACK</v>
      </c>
      <c r="AA62" s="34"/>
      <c r="AB62" s="34"/>
      <c r="AC62" s="34"/>
      <c r="AD62" s="34"/>
      <c r="AE62" s="34"/>
      <c r="AF62" s="34"/>
      <c r="AG62" s="9"/>
      <c r="AH62" s="9"/>
    </row>
    <row r="63" spans="1:34" x14ac:dyDescent="0.3">
      <c r="A63" s="9"/>
      <c r="B63" s="44" t="str">
        <f>Calc!F9</f>
        <v>All</v>
      </c>
      <c r="C63" s="44"/>
      <c r="D63" s="44"/>
      <c r="E63" s="44"/>
      <c r="F63" s="44"/>
      <c r="G63" s="44"/>
      <c r="H63" s="44"/>
      <c r="I63" s="44"/>
      <c r="J63" s="39">
        <f>Calc!G9</f>
        <v>160</v>
      </c>
      <c r="K63" s="39"/>
      <c r="L63" s="39"/>
      <c r="M63" s="39"/>
      <c r="N63" s="39"/>
      <c r="O63" s="39">
        <f>Calc!H9</f>
        <v>8</v>
      </c>
      <c r="P63" s="39"/>
      <c r="Q63" s="39"/>
      <c r="R63" s="39"/>
      <c r="S63" s="39"/>
      <c r="T63" s="42">
        <f>Calc!K9</f>
        <v>0.95</v>
      </c>
      <c r="U63" s="42"/>
      <c r="V63" s="42"/>
      <c r="W63" s="42"/>
      <c r="X63" s="42"/>
      <c r="Y63" s="42"/>
      <c r="Z63" s="36" t="str">
        <f>Calc!L9</f>
        <v>ON TRACK</v>
      </c>
      <c r="AA63" s="36"/>
      <c r="AB63" s="36"/>
      <c r="AC63" s="36"/>
      <c r="AD63" s="36"/>
      <c r="AE63" s="36"/>
      <c r="AF63" s="36"/>
      <c r="AG63" s="9"/>
      <c r="AH63" s="9"/>
    </row>
    <row r="64" spans="1:34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3">
      <c r="A66" s="9"/>
      <c r="B66" s="46" t="s">
        <v>223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3">
      <c r="A67" s="9"/>
      <c r="B67" s="46" t="s">
        <v>224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</sheetData>
  <mergeCells count="183">
    <mergeCell ref="B63:I63"/>
    <mergeCell ref="J63:N63"/>
    <mergeCell ref="O63:S63"/>
    <mergeCell ref="T63:Y63"/>
    <mergeCell ref="Z63:AF63"/>
    <mergeCell ref="B61:I61"/>
    <mergeCell ref="J61:N61"/>
    <mergeCell ref="O61:S61"/>
    <mergeCell ref="T61:Y61"/>
    <mergeCell ref="Z61:AF61"/>
    <mergeCell ref="B62:I62"/>
    <mergeCell ref="J62:N62"/>
    <mergeCell ref="O62:S62"/>
    <mergeCell ref="T62:Y62"/>
    <mergeCell ref="Z62:AF62"/>
    <mergeCell ref="B59:I59"/>
    <mergeCell ref="J59:N59"/>
    <mergeCell ref="O59:S59"/>
    <mergeCell ref="T59:Y59"/>
    <mergeCell ref="Z59:AF59"/>
    <mergeCell ref="B60:I60"/>
    <mergeCell ref="J60:N60"/>
    <mergeCell ref="O60:S60"/>
    <mergeCell ref="T60:Y60"/>
    <mergeCell ref="Z60:AF60"/>
    <mergeCell ref="B57:I57"/>
    <mergeCell ref="J57:N57"/>
    <mergeCell ref="O57:S57"/>
    <mergeCell ref="T57:Y57"/>
    <mergeCell ref="Z57:AF57"/>
    <mergeCell ref="B58:I58"/>
    <mergeCell ref="J58:N58"/>
    <mergeCell ref="O58:S58"/>
    <mergeCell ref="T58:Y58"/>
    <mergeCell ref="Z58:AF58"/>
    <mergeCell ref="AA18:AB18"/>
    <mergeCell ref="AC18:AF18"/>
    <mergeCell ref="C20:H20"/>
    <mergeCell ref="I20:N20"/>
    <mergeCell ref="O20:T20"/>
    <mergeCell ref="U20:Z20"/>
    <mergeCell ref="O18:P18"/>
    <mergeCell ref="Q18:R18"/>
    <mergeCell ref="S18:T18"/>
    <mergeCell ref="U18:V18"/>
    <mergeCell ref="W18:X18"/>
    <mergeCell ref="Y18:Z18"/>
    <mergeCell ref="C18:D18"/>
    <mergeCell ref="E18:F18"/>
    <mergeCell ref="G18:H18"/>
    <mergeCell ref="I18:J18"/>
    <mergeCell ref="K18:L18"/>
    <mergeCell ref="M18:N18"/>
    <mergeCell ref="S17:T17"/>
    <mergeCell ref="U17:V17"/>
    <mergeCell ref="W17:X17"/>
    <mergeCell ref="Y17:Z17"/>
    <mergeCell ref="AA17:AB17"/>
    <mergeCell ref="AC17:AF17"/>
    <mergeCell ref="AA16:AB16"/>
    <mergeCell ref="AC16:AF16"/>
    <mergeCell ref="C17:D17"/>
    <mergeCell ref="E17:F17"/>
    <mergeCell ref="G17:H17"/>
    <mergeCell ref="I17:J17"/>
    <mergeCell ref="K17:L17"/>
    <mergeCell ref="M17:N17"/>
    <mergeCell ref="O17:P17"/>
    <mergeCell ref="Q17:R17"/>
    <mergeCell ref="O16:P16"/>
    <mergeCell ref="Q16:R16"/>
    <mergeCell ref="S16:T16"/>
    <mergeCell ref="U16:V16"/>
    <mergeCell ref="W16:X16"/>
    <mergeCell ref="Y16:Z16"/>
    <mergeCell ref="C16:D16"/>
    <mergeCell ref="E16:F16"/>
    <mergeCell ref="G16:H16"/>
    <mergeCell ref="I16:J16"/>
    <mergeCell ref="K16:L16"/>
    <mergeCell ref="M16:N16"/>
    <mergeCell ref="S15:T15"/>
    <mergeCell ref="U15:V15"/>
    <mergeCell ref="W15:X15"/>
    <mergeCell ref="Y15:Z15"/>
    <mergeCell ref="AA15:AB15"/>
    <mergeCell ref="AC15:AF15"/>
    <mergeCell ref="AA14:AB14"/>
    <mergeCell ref="AC14:AF14"/>
    <mergeCell ref="C15:D15"/>
    <mergeCell ref="E15:F15"/>
    <mergeCell ref="G15:H15"/>
    <mergeCell ref="I15:J15"/>
    <mergeCell ref="K15:L15"/>
    <mergeCell ref="M15:N15"/>
    <mergeCell ref="O15:P15"/>
    <mergeCell ref="Q15:R15"/>
    <mergeCell ref="O14:P14"/>
    <mergeCell ref="Q14:R14"/>
    <mergeCell ref="S14:T14"/>
    <mergeCell ref="U14:V14"/>
    <mergeCell ref="W14:X14"/>
    <mergeCell ref="Y14:Z14"/>
    <mergeCell ref="C14:D14"/>
    <mergeCell ref="E14:F14"/>
    <mergeCell ref="G14:H14"/>
    <mergeCell ref="I14:J14"/>
    <mergeCell ref="K14:L14"/>
    <mergeCell ref="M14:N14"/>
    <mergeCell ref="S13:T13"/>
    <mergeCell ref="U13:V13"/>
    <mergeCell ref="W13:X13"/>
    <mergeCell ref="Y13:Z13"/>
    <mergeCell ref="AA13:AB13"/>
    <mergeCell ref="AC13:AF13"/>
    <mergeCell ref="AA12:AB12"/>
    <mergeCell ref="AC12:AF12"/>
    <mergeCell ref="C13:D13"/>
    <mergeCell ref="E13:F13"/>
    <mergeCell ref="G13:H13"/>
    <mergeCell ref="I13:J13"/>
    <mergeCell ref="K13:L13"/>
    <mergeCell ref="M13:N13"/>
    <mergeCell ref="O13:P13"/>
    <mergeCell ref="Q13:R13"/>
    <mergeCell ref="O12:P12"/>
    <mergeCell ref="Q12:R12"/>
    <mergeCell ref="S12:T12"/>
    <mergeCell ref="U12:V12"/>
    <mergeCell ref="W12:X12"/>
    <mergeCell ref="Y12:Z12"/>
    <mergeCell ref="C12:D12"/>
    <mergeCell ref="E12:F12"/>
    <mergeCell ref="G12:H12"/>
    <mergeCell ref="I12:J12"/>
    <mergeCell ref="K12:L12"/>
    <mergeCell ref="M12:N12"/>
    <mergeCell ref="S11:T11"/>
    <mergeCell ref="U11:V11"/>
    <mergeCell ref="W11:X11"/>
    <mergeCell ref="Y11:Z11"/>
    <mergeCell ref="AA11:AB11"/>
    <mergeCell ref="AC11:AF11"/>
    <mergeCell ref="AA10:AB10"/>
    <mergeCell ref="AC10:AF10"/>
    <mergeCell ref="C11:D11"/>
    <mergeCell ref="E11:F11"/>
    <mergeCell ref="G11:H11"/>
    <mergeCell ref="I11:J11"/>
    <mergeCell ref="K11:L11"/>
    <mergeCell ref="M11:N11"/>
    <mergeCell ref="O11:P11"/>
    <mergeCell ref="Q11:R11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6:T6"/>
    <mergeCell ref="O7:T7"/>
    <mergeCell ref="U5:Z5"/>
    <mergeCell ref="U6:Z6"/>
    <mergeCell ref="U7:Z7"/>
    <mergeCell ref="AA5:AF5"/>
    <mergeCell ref="AA6:AF6"/>
    <mergeCell ref="AA7:AF7"/>
    <mergeCell ref="B1:AF1"/>
    <mergeCell ref="B2:AF2"/>
    <mergeCell ref="C3:J3"/>
    <mergeCell ref="C5:H5"/>
    <mergeCell ref="C6:H6"/>
    <mergeCell ref="C7:H7"/>
    <mergeCell ref="I5:N5"/>
    <mergeCell ref="I6:N6"/>
    <mergeCell ref="I7:N7"/>
    <mergeCell ref="O5:T5"/>
  </mergeCells>
  <conditionalFormatting sqref="AA6:AF6">
    <cfRule type="expression" dxfId="10" priority="1" stopIfTrue="1">
      <formula>$AA$6="ON TRACK"</formula>
    </cfRule>
    <cfRule type="expression" dxfId="9" priority="2" stopIfTrue="1">
      <formula>$AA$6="WATCH"</formula>
    </cfRule>
    <cfRule type="expression" dxfId="8" priority="3" stopIfTrue="1">
      <formula>$AA$6="ACTION NEEDED"</formula>
    </cfRule>
  </conditionalFormatting>
  <conditionalFormatting sqref="C11:D18">
    <cfRule type="expression" dxfId="7" priority="4" stopIfTrue="1">
      <formula>$C11&gt;=3</formula>
    </cfRule>
    <cfRule type="expression" dxfId="6" priority="5" stopIfTrue="1">
      <formula>$C11&gt;=1</formula>
    </cfRule>
  </conditionalFormatting>
  <conditionalFormatting sqref="E11:AB18">
    <cfRule type="expression" dxfId="5" priority="6" stopIfTrue="1">
      <formula>E11&gt;=4</formula>
    </cfRule>
    <cfRule type="expression" dxfId="4" priority="7" stopIfTrue="1">
      <formula>E11&gt;=2</formula>
    </cfRule>
    <cfRule type="expression" dxfId="3" priority="8" stopIfTrue="1">
      <formula>E11&gt;=1</formula>
    </cfRule>
  </conditionalFormatting>
  <conditionalFormatting sqref="Z58:AF63">
    <cfRule type="expression" dxfId="2" priority="9" stopIfTrue="1">
      <formula>$Z58="ON TRACK"</formula>
    </cfRule>
    <cfRule type="expression" dxfId="1" priority="10" stopIfTrue="1">
      <formula>$Z58="WATCH"</formula>
    </cfRule>
    <cfRule type="expression" dxfId="0" priority="11" stopIfTrue="1">
      <formula>$Z58="ACTION NEEDED"</formula>
    </cfRule>
  </conditionalFormatting>
  <dataValidations count="1">
    <dataValidation type="list" allowBlank="1" showInputMessage="1" showErrorMessage="1" sqref="C3" xr:uid="{9E82D854-6045-41D2-B137-363A30C77C94}">
      <formula1>"All,QC Lab,Production,Warehouse,Engineering,Microbiology"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16A5-8326-4D1C-A725-83818BCC0B47}">
  <dimension ref="A1:Q33"/>
  <sheetViews>
    <sheetView workbookViewId="0"/>
  </sheetViews>
  <sheetFormatPr defaultRowHeight="14" x14ac:dyDescent="0.3"/>
  <cols>
    <col min="1" max="1" width="26.6328125" style="1" customWidth="1"/>
    <col min="2" max="17" width="16.6328125" style="1" customWidth="1"/>
    <col min="18" max="16384" width="8.7265625" style="1"/>
  </cols>
  <sheetData>
    <row r="1" spans="1:17" x14ac:dyDescent="0.3">
      <c r="A1" s="5" t="s">
        <v>183</v>
      </c>
    </row>
    <row r="3" spans="1:17" x14ac:dyDescent="0.3">
      <c r="A3" s="1" t="s">
        <v>184</v>
      </c>
      <c r="B3" s="6">
        <v>46304</v>
      </c>
      <c r="F3" s="8" t="s">
        <v>193</v>
      </c>
      <c r="G3" s="8" t="s">
        <v>194</v>
      </c>
      <c r="H3" s="8" t="s">
        <v>190</v>
      </c>
      <c r="I3" s="8" t="s">
        <v>195</v>
      </c>
      <c r="J3" s="8" t="s">
        <v>192</v>
      </c>
      <c r="K3" s="8" t="s">
        <v>196</v>
      </c>
      <c r="L3" s="8" t="s">
        <v>180</v>
      </c>
      <c r="N3" s="8" t="s">
        <v>2</v>
      </c>
      <c r="O3" s="8" t="s">
        <v>198</v>
      </c>
      <c r="P3" s="8" t="s">
        <v>190</v>
      </c>
      <c r="Q3" s="8" t="s">
        <v>195</v>
      </c>
    </row>
    <row r="4" spans="1:17" x14ac:dyDescent="0.3">
      <c r="A4" s="1" t="s">
        <v>185</v>
      </c>
      <c r="B4" s="1" t="str">
        <f>Dashboard!$C$3</f>
        <v>All</v>
      </c>
      <c r="F4" s="1" t="s">
        <v>6</v>
      </c>
      <c r="G4" s="1">
        <f>COUNTIFS(Data!$B$2:$B$161,IF($F4="All","*",$F4))</f>
        <v>74</v>
      </c>
      <c r="H4" s="1">
        <f>COUNTIFS(Data!$B$2:$B$161,IF($F4="All","*",$F4),Data!$H$2:$H$161,"Overdue")</f>
        <v>0</v>
      </c>
      <c r="I4" s="1">
        <f>COUNTIFS(Data!$B$2:$B$161,IF($F4="All","*",$F4),Data!$H$2:$H$161,"Due 30d")</f>
        <v>16</v>
      </c>
      <c r="J4" s="1">
        <f>COUNTIFS(Data!$B$2:$B$161,IF($F4="All","*",$F4),Data!$H$2:$H$161,"OK")</f>
        <v>58</v>
      </c>
      <c r="K4" s="7">
        <f t="shared" ref="K4:K9" si="0">1-H4/G4</f>
        <v>1</v>
      </c>
      <c r="L4" s="1" t="str">
        <f t="shared" ref="L4:L9" si="1">IF(K4&gt;=0.93,"ON TRACK",IF(K4&gt;=0.85,"WATCH","ACTION NEEDED"))</f>
        <v>ON TRACK</v>
      </c>
      <c r="N4" s="1" t="s">
        <v>27</v>
      </c>
      <c r="O4" s="1">
        <f>COUNTIFS(Data!$B$2:$B$161,$B$5,Data!$C$2:$C$161,$N4)</f>
        <v>22</v>
      </c>
      <c r="P4" s="1">
        <f>COUNTIFS(Data!$B$2:$B$161,$B$5,Data!$C$2:$C$161,$N4,Data!$H$2:$H$161,"Overdue")</f>
        <v>4</v>
      </c>
      <c r="Q4" s="1">
        <f>COUNTIFS(Data!$B$2:$B$161,$B$5,Data!$C$2:$C$161,$N4,Data!$H$2:$H$161,"Due 30d")</f>
        <v>7</v>
      </c>
    </row>
    <row r="5" spans="1:17" x14ac:dyDescent="0.3">
      <c r="A5" s="1" t="s">
        <v>186</v>
      </c>
      <c r="B5" s="1" t="str">
        <f>IF($B$4="All","*",$B$4)</f>
        <v>*</v>
      </c>
      <c r="F5" s="1" t="s">
        <v>14</v>
      </c>
      <c r="G5" s="1">
        <f>COUNTIFS(Data!$B$2:$B$161,IF($F5="All","*",$F5))</f>
        <v>32</v>
      </c>
      <c r="H5" s="1">
        <f>COUNTIFS(Data!$B$2:$B$161,IF($F5="All","*",$F5),Data!$H$2:$H$161,"Overdue")</f>
        <v>5</v>
      </c>
      <c r="I5" s="1">
        <f>COUNTIFS(Data!$B$2:$B$161,IF($F5="All","*",$F5),Data!$H$2:$H$161,"Due 30d")</f>
        <v>7</v>
      </c>
      <c r="J5" s="1">
        <f>COUNTIFS(Data!$B$2:$B$161,IF($F5="All","*",$F5),Data!$H$2:$H$161,"OK")</f>
        <v>20</v>
      </c>
      <c r="K5" s="7">
        <f t="shared" si="0"/>
        <v>0.84375</v>
      </c>
      <c r="L5" s="1" t="str">
        <f t="shared" si="1"/>
        <v>ACTION NEEDED</v>
      </c>
      <c r="N5" s="1" t="s">
        <v>17</v>
      </c>
      <c r="O5" s="1">
        <f>COUNTIFS(Data!$B$2:$B$161,$B$5,Data!$C$2:$C$161,$N5)</f>
        <v>16</v>
      </c>
      <c r="P5" s="1">
        <f>COUNTIFS(Data!$B$2:$B$161,$B$5,Data!$C$2:$C$161,$N5,Data!$H$2:$H$161,"Overdue")</f>
        <v>0</v>
      </c>
      <c r="Q5" s="1">
        <f>COUNTIFS(Data!$B$2:$B$161,$B$5,Data!$C$2:$C$161,$N5,Data!$H$2:$H$161,"Due 30d")</f>
        <v>7</v>
      </c>
    </row>
    <row r="6" spans="1:17" x14ac:dyDescent="0.3">
      <c r="F6" s="1" t="s">
        <v>47</v>
      </c>
      <c r="G6" s="1">
        <f>COUNTIFS(Data!$B$2:$B$161,IF($F6="All","*",$F6))</f>
        <v>11</v>
      </c>
      <c r="H6" s="1">
        <f>COUNTIFS(Data!$B$2:$B$161,IF($F6="All","*",$F6),Data!$H$2:$H$161,"Overdue")</f>
        <v>1</v>
      </c>
      <c r="I6" s="1">
        <f>COUNTIFS(Data!$B$2:$B$161,IF($F6="All","*",$F6),Data!$H$2:$H$161,"Due 30d")</f>
        <v>3</v>
      </c>
      <c r="J6" s="1">
        <f>COUNTIFS(Data!$B$2:$B$161,IF($F6="All","*",$F6),Data!$H$2:$H$161,"OK")</f>
        <v>7</v>
      </c>
      <c r="K6" s="7">
        <f t="shared" si="0"/>
        <v>0.90909090909090906</v>
      </c>
      <c r="L6" s="1" t="str">
        <f t="shared" si="1"/>
        <v>WATCH</v>
      </c>
      <c r="N6" s="1" t="s">
        <v>31</v>
      </c>
      <c r="O6" s="1">
        <f>COUNTIFS(Data!$B$2:$B$161,$B$5,Data!$C$2:$C$161,$N6)</f>
        <v>16</v>
      </c>
      <c r="P6" s="1">
        <f>COUNTIFS(Data!$B$2:$B$161,$B$5,Data!$C$2:$C$161,$N6,Data!$H$2:$H$161,"Overdue")</f>
        <v>0</v>
      </c>
      <c r="Q6" s="1">
        <f>COUNTIFS(Data!$B$2:$B$161,$B$5,Data!$C$2:$C$161,$N6,Data!$H$2:$H$161,"Due 30d")</f>
        <v>2</v>
      </c>
    </row>
    <row r="7" spans="1:17" x14ac:dyDescent="0.3">
      <c r="A7" s="1" t="s">
        <v>187</v>
      </c>
      <c r="B7" s="1">
        <f>IFERROR(-_xlfn.AGGREGATE(15,6,Data!$G$2:$G$161/((($B$4="All")+(Data!$B$2:$B$161=$B$4)&gt;0)*(Data!$G$2:$G$161&lt;0)),1),0)</f>
        <v>59</v>
      </c>
      <c r="F7" s="1" t="s">
        <v>19</v>
      </c>
      <c r="G7" s="1">
        <f>COUNTIFS(Data!$B$2:$B$161,IF($F7="All","*",$F7))</f>
        <v>11</v>
      </c>
      <c r="H7" s="1">
        <f>COUNTIFS(Data!$B$2:$B$161,IF($F7="All","*",$F7),Data!$H$2:$H$161,"Overdue")</f>
        <v>0</v>
      </c>
      <c r="I7" s="1">
        <f>COUNTIFS(Data!$B$2:$B$161,IF($F7="All","*",$F7),Data!$H$2:$H$161,"Due 30d")</f>
        <v>1</v>
      </c>
      <c r="J7" s="1">
        <f>COUNTIFS(Data!$B$2:$B$161,IF($F7="All","*",$F7),Data!$H$2:$H$161,"OK")</f>
        <v>10</v>
      </c>
      <c r="K7" s="7">
        <f t="shared" si="0"/>
        <v>1</v>
      </c>
      <c r="L7" s="1" t="str">
        <f t="shared" si="1"/>
        <v>ON TRACK</v>
      </c>
      <c r="N7" s="1" t="s">
        <v>20</v>
      </c>
      <c r="O7" s="1">
        <f>COUNTIFS(Data!$B$2:$B$161,$B$5,Data!$C$2:$C$161,$N7)</f>
        <v>15</v>
      </c>
      <c r="P7" s="1">
        <f>COUNTIFS(Data!$B$2:$B$161,$B$5,Data!$C$2:$C$161,$N7,Data!$H$2:$H$161,"Overdue")</f>
        <v>2</v>
      </c>
      <c r="Q7" s="1">
        <f>COUNTIFS(Data!$B$2:$B$161,$B$5,Data!$C$2:$C$161,$N7,Data!$H$2:$H$161,"Due 30d")</f>
        <v>0</v>
      </c>
    </row>
    <row r="8" spans="1:17" x14ac:dyDescent="0.3">
      <c r="A8" s="1" t="s">
        <v>188</v>
      </c>
      <c r="B8" s="1">
        <f>IFERROR(_xlfn.AGGREGATE(15,6,Data!$G$2:$G$161/((($B$4="All")+(Data!$B$2:$B$161=$B$4)&gt;0)*(Data!$G$2:$G$161&gt;=0)),1),0)</f>
        <v>1</v>
      </c>
      <c r="F8" s="1" t="s">
        <v>9</v>
      </c>
      <c r="G8" s="1">
        <f>COUNTIFS(Data!$B$2:$B$161,IF($F8="All","*",$F8))</f>
        <v>32</v>
      </c>
      <c r="H8" s="1">
        <f>COUNTIFS(Data!$B$2:$B$161,IF($F8="All","*",$F8),Data!$H$2:$H$161,"Overdue")</f>
        <v>2</v>
      </c>
      <c r="I8" s="1">
        <f>COUNTIFS(Data!$B$2:$B$161,IF($F8="All","*",$F8),Data!$H$2:$H$161,"Due 30d")</f>
        <v>8</v>
      </c>
      <c r="J8" s="1">
        <f>COUNTIFS(Data!$B$2:$B$161,IF($F8="All","*",$F8),Data!$H$2:$H$161,"OK")</f>
        <v>22</v>
      </c>
      <c r="K8" s="7">
        <f t="shared" si="0"/>
        <v>0.9375</v>
      </c>
      <c r="L8" s="1" t="str">
        <f t="shared" si="1"/>
        <v>ON TRACK</v>
      </c>
      <c r="N8" s="1" t="s">
        <v>15</v>
      </c>
      <c r="O8" s="1">
        <f>COUNTIFS(Data!$B$2:$B$161,$B$5,Data!$C$2:$C$161,$N8)</f>
        <v>21</v>
      </c>
      <c r="P8" s="1">
        <f>COUNTIFS(Data!$B$2:$B$161,$B$5,Data!$C$2:$C$161,$N8,Data!$H$2:$H$161,"Overdue")</f>
        <v>1</v>
      </c>
      <c r="Q8" s="1">
        <f>COUNTIFS(Data!$B$2:$B$161,$B$5,Data!$C$2:$C$161,$N8,Data!$H$2:$H$161,"Due 30d")</f>
        <v>5</v>
      </c>
    </row>
    <row r="9" spans="1:17" x14ac:dyDescent="0.3">
      <c r="F9" s="1" t="s">
        <v>197</v>
      </c>
      <c r="G9" s="1">
        <f>COUNTIFS(Data!$B$2:$B$161,IF($F9="All","*",$F9))</f>
        <v>160</v>
      </c>
      <c r="H9" s="1">
        <f>COUNTIFS(Data!$B$2:$B$161,IF($F9="All","*",$F9),Data!$H$2:$H$161,"Overdue")</f>
        <v>8</v>
      </c>
      <c r="I9" s="1">
        <f>COUNTIFS(Data!$B$2:$B$161,IF($F9="All","*",$F9),Data!$H$2:$H$161,"Due 30d")</f>
        <v>35</v>
      </c>
      <c r="J9" s="1">
        <f>COUNTIFS(Data!$B$2:$B$161,IF($F9="All","*",$F9),Data!$H$2:$H$161,"OK")</f>
        <v>117</v>
      </c>
      <c r="K9" s="7">
        <f t="shared" si="0"/>
        <v>0.95</v>
      </c>
      <c r="L9" s="1" t="str">
        <f t="shared" si="1"/>
        <v>ON TRACK</v>
      </c>
      <c r="N9" s="1" t="s">
        <v>10</v>
      </c>
      <c r="O9" s="1">
        <f>COUNTIFS(Data!$B$2:$B$161,$B$5,Data!$C$2:$C$161,$N9)</f>
        <v>23</v>
      </c>
      <c r="P9" s="1">
        <f>COUNTIFS(Data!$B$2:$B$161,$B$5,Data!$C$2:$C$161,$N9,Data!$H$2:$H$161,"Overdue")</f>
        <v>1</v>
      </c>
      <c r="Q9" s="1">
        <f>COUNTIFS(Data!$B$2:$B$161,$B$5,Data!$C$2:$C$161,$N9,Data!$H$2:$H$161,"Due 30d")</f>
        <v>5</v>
      </c>
    </row>
    <row r="10" spans="1:17" x14ac:dyDescent="0.3">
      <c r="N10" s="1" t="s">
        <v>34</v>
      </c>
      <c r="O10" s="1">
        <f>COUNTIFS(Data!$B$2:$B$161,$B$5,Data!$C$2:$C$161,$N10)</f>
        <v>18</v>
      </c>
      <c r="P10" s="1">
        <f>COUNTIFS(Data!$B$2:$B$161,$B$5,Data!$C$2:$C$161,$N10,Data!$H$2:$H$161,"Overdue")</f>
        <v>0</v>
      </c>
      <c r="Q10" s="1">
        <f>COUNTIFS(Data!$B$2:$B$161,$B$5,Data!$C$2:$C$161,$N10,Data!$H$2:$H$161,"Due 30d")</f>
        <v>3</v>
      </c>
    </row>
    <row r="11" spans="1:17" x14ac:dyDescent="0.3">
      <c r="A11" s="1" t="s">
        <v>189</v>
      </c>
      <c r="N11" s="1" t="s">
        <v>7</v>
      </c>
      <c r="O11" s="1">
        <f>COUNTIFS(Data!$B$2:$B$161,$B$5,Data!$C$2:$C$161,$N11)</f>
        <v>29</v>
      </c>
      <c r="P11" s="1">
        <f>COUNTIFS(Data!$B$2:$B$161,$B$5,Data!$C$2:$C$161,$N11,Data!$H$2:$H$161,"Overdue")</f>
        <v>0</v>
      </c>
      <c r="Q11" s="1">
        <f>COUNTIFS(Data!$B$2:$B$161,$B$5,Data!$C$2:$C$161,$N11,Data!$H$2:$H$161,"Due 30d")</f>
        <v>6</v>
      </c>
    </row>
    <row r="12" spans="1:17" x14ac:dyDescent="0.3">
      <c r="A12" s="1" t="s">
        <v>190</v>
      </c>
      <c r="B12" s="1">
        <f>INDEX($H$4:$H$9,MATCH($B$4,$F$4:$F$9,0))</f>
        <v>8</v>
      </c>
    </row>
    <row r="13" spans="1:17" x14ac:dyDescent="0.3">
      <c r="A13" s="1" t="s">
        <v>191</v>
      </c>
      <c r="B13" s="1">
        <f>INDEX($I$4:$I$9,MATCH($B$4,$F$4:$F$9,0))</f>
        <v>35</v>
      </c>
    </row>
    <row r="14" spans="1:17" x14ac:dyDescent="0.3">
      <c r="A14" s="1" t="s">
        <v>192</v>
      </c>
      <c r="B14" s="1">
        <f>INDEX($J$4:$J$9,MATCH($B$4,$F$4:$F$9,0))</f>
        <v>117</v>
      </c>
    </row>
    <row r="20" spans="1:4" x14ac:dyDescent="0.3">
      <c r="A20" s="8" t="s">
        <v>181</v>
      </c>
      <c r="B20" s="8" t="s">
        <v>199</v>
      </c>
      <c r="C20" s="8" t="s">
        <v>200</v>
      </c>
      <c r="D20" s="8" t="s">
        <v>201</v>
      </c>
    </row>
    <row r="21" spans="1:4" x14ac:dyDescent="0.3">
      <c r="A21" s="1">
        <v>-1</v>
      </c>
      <c r="B21" s="1" t="s">
        <v>190</v>
      </c>
      <c r="C21" s="1">
        <f>COUNTIFS(Data!$B$2:$B$161,$B$5,Data!$I$2:$I$161,$A21)</f>
        <v>8</v>
      </c>
      <c r="D21" s="1">
        <f>SUM($C$21:C21)</f>
        <v>8</v>
      </c>
    </row>
    <row r="22" spans="1:4" x14ac:dyDescent="0.3">
      <c r="A22" s="1">
        <v>0</v>
      </c>
      <c r="B22" s="1" t="str">
        <f>TEXT(EDATE(DATE(YEAR($B$3),MONTH($B$3),1),A22),"mmm")</f>
        <v>Oct</v>
      </c>
      <c r="C22" s="1">
        <f>COUNTIFS(Data!$B$2:$B$161,$B$5,Data!$I$2:$I$161,$A22)</f>
        <v>26</v>
      </c>
      <c r="D22" s="1">
        <f>SUM($C$21:C22)</f>
        <v>34</v>
      </c>
    </row>
    <row r="23" spans="1:4" x14ac:dyDescent="0.3">
      <c r="A23" s="1">
        <v>1</v>
      </c>
      <c r="B23" s="1" t="str">
        <f>TEXT(EDATE(DATE(YEAR($B$3),MONTH($B$3),1),A23),"mmm")</f>
        <v>Nov</v>
      </c>
      <c r="C23" s="1">
        <f>COUNTIFS(Data!$B$2:$B$161,$B$5,Data!$I$2:$I$161,$A23)</f>
        <v>32</v>
      </c>
      <c r="D23" s="1">
        <f>SUM($C$21:C23)</f>
        <v>66</v>
      </c>
    </row>
    <row r="24" spans="1:4" x14ac:dyDescent="0.3">
      <c r="A24" s="1">
        <v>2</v>
      </c>
      <c r="B24" s="1" t="str">
        <f>TEXT(EDATE(DATE(YEAR($B$3),MONTH($B$3),1),A24),"mmm")</f>
        <v>Dec</v>
      </c>
      <c r="C24" s="1">
        <f>COUNTIFS(Data!$B$2:$B$161,$B$5,Data!$I$2:$I$161,$A24)</f>
        <v>34</v>
      </c>
      <c r="D24" s="1">
        <f>SUM($C$21:C24)</f>
        <v>100</v>
      </c>
    </row>
    <row r="25" spans="1:4" x14ac:dyDescent="0.3">
      <c r="A25" s="1">
        <v>3</v>
      </c>
      <c r="B25" s="1" t="str">
        <f>TEXT(EDATE(DATE(YEAR($B$3),MONTH($B$3),1),A25),"mmm")</f>
        <v>Jan</v>
      </c>
      <c r="C25" s="1">
        <f>COUNTIFS(Data!$B$2:$B$161,$B$5,Data!$I$2:$I$161,$A25)</f>
        <v>19</v>
      </c>
      <c r="D25" s="1">
        <f>SUM($C$21:C25)</f>
        <v>119</v>
      </c>
    </row>
    <row r="26" spans="1:4" x14ac:dyDescent="0.3">
      <c r="A26" s="1">
        <v>4</v>
      </c>
      <c r="B26" s="1" t="str">
        <f>TEXT(EDATE(DATE(YEAR($B$3),MONTH($B$3),1),A26),"mmm")</f>
        <v>Feb</v>
      </c>
      <c r="C26" s="1">
        <f>COUNTIFS(Data!$B$2:$B$161,$B$5,Data!$I$2:$I$161,$A26)</f>
        <v>12</v>
      </c>
      <c r="D26" s="1">
        <f>SUM($C$21:C26)</f>
        <v>131</v>
      </c>
    </row>
    <row r="27" spans="1:4" x14ac:dyDescent="0.3">
      <c r="A27" s="1">
        <v>5</v>
      </c>
      <c r="B27" s="1" t="str">
        <f>TEXT(EDATE(DATE(YEAR($B$3),MONTH($B$3),1),A27),"mmm")</f>
        <v>Mar</v>
      </c>
      <c r="C27" s="1">
        <f>COUNTIFS(Data!$B$2:$B$161,$B$5,Data!$I$2:$I$161,$A27)</f>
        <v>9</v>
      </c>
      <c r="D27" s="1">
        <f>SUM($C$21:C27)</f>
        <v>140</v>
      </c>
    </row>
    <row r="28" spans="1:4" x14ac:dyDescent="0.3">
      <c r="A28" s="1">
        <v>6</v>
      </c>
      <c r="B28" s="1" t="str">
        <f>TEXT(EDATE(DATE(YEAR($B$3),MONTH($B$3),1),A28),"mmm")</f>
        <v>Apr</v>
      </c>
      <c r="C28" s="1">
        <f>COUNTIFS(Data!$B$2:$B$161,$B$5,Data!$I$2:$I$161,$A28)</f>
        <v>3</v>
      </c>
      <c r="D28" s="1">
        <f>SUM($C$21:C28)</f>
        <v>143</v>
      </c>
    </row>
    <row r="29" spans="1:4" x14ac:dyDescent="0.3">
      <c r="A29" s="1">
        <v>7</v>
      </c>
      <c r="B29" s="1" t="str">
        <f>TEXT(EDATE(DATE(YEAR($B$3),MONTH($B$3),1),A29),"mmm")</f>
        <v>May</v>
      </c>
      <c r="C29" s="1">
        <f>COUNTIFS(Data!$B$2:$B$161,$B$5,Data!$I$2:$I$161,$A29)</f>
        <v>2</v>
      </c>
      <c r="D29" s="1">
        <f>SUM($C$21:C29)</f>
        <v>145</v>
      </c>
    </row>
    <row r="30" spans="1:4" x14ac:dyDescent="0.3">
      <c r="A30" s="1">
        <v>8</v>
      </c>
      <c r="B30" s="1" t="str">
        <f>TEXT(EDATE(DATE(YEAR($B$3),MONTH($B$3),1),A30),"mmm")</f>
        <v>Jun</v>
      </c>
      <c r="C30" s="1">
        <f>COUNTIFS(Data!$B$2:$B$161,$B$5,Data!$I$2:$I$161,$A30)</f>
        <v>4</v>
      </c>
      <c r="D30" s="1">
        <f>SUM($C$21:C30)</f>
        <v>149</v>
      </c>
    </row>
    <row r="31" spans="1:4" x14ac:dyDescent="0.3">
      <c r="A31" s="1">
        <v>9</v>
      </c>
      <c r="B31" s="1" t="str">
        <f>TEXT(EDATE(DATE(YEAR($B$3),MONTH($B$3),1),A31),"mmm")</f>
        <v>Jul</v>
      </c>
      <c r="C31" s="1">
        <f>COUNTIFS(Data!$B$2:$B$161,$B$5,Data!$I$2:$I$161,$A31)</f>
        <v>7</v>
      </c>
      <c r="D31" s="1">
        <f>SUM($C$21:C31)</f>
        <v>156</v>
      </c>
    </row>
    <row r="32" spans="1:4" x14ac:dyDescent="0.3">
      <c r="A32" s="1">
        <v>10</v>
      </c>
      <c r="B32" s="1" t="str">
        <f>TEXT(EDATE(DATE(YEAR($B$3),MONTH($B$3),1),A32),"mmm")</f>
        <v>Aug</v>
      </c>
      <c r="C32" s="1">
        <f>COUNTIFS(Data!$B$2:$B$161,$B$5,Data!$I$2:$I$161,$A32)</f>
        <v>4</v>
      </c>
      <c r="D32" s="1">
        <f>SUM($C$21:C32)</f>
        <v>160</v>
      </c>
    </row>
    <row r="33" spans="1:4" x14ac:dyDescent="0.3">
      <c r="A33" s="1">
        <v>11</v>
      </c>
      <c r="B33" s="1" t="str">
        <f>TEXT(EDATE(DATE(YEAR($B$3),MONTH($B$3),1),A33),"mmm")&amp;"+"</f>
        <v>Sep+</v>
      </c>
      <c r="C33" s="1">
        <f>COUNTIFS(Data!$B$2:$B$161,$B$5,Data!$I$2:$I$161,$A33)</f>
        <v>0</v>
      </c>
      <c r="D33" s="1">
        <f>SUM($C$21:C33)</f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1D6D-0C6B-4ED5-BA3D-6E003E5EA5C7}">
  <dimension ref="A1:K161"/>
  <sheetViews>
    <sheetView workbookViewId="0"/>
  </sheetViews>
  <sheetFormatPr defaultRowHeight="14" x14ac:dyDescent="0.3"/>
  <cols>
    <col min="1" max="1" width="8.1796875" style="1" bestFit="1" customWidth="1"/>
    <col min="2" max="2" width="11.6328125" style="1" bestFit="1" customWidth="1"/>
    <col min="3" max="3" width="17.26953125" style="1" bestFit="1" customWidth="1"/>
    <col min="4" max="4" width="11.7265625" style="1" bestFit="1" customWidth="1"/>
    <col min="5" max="5" width="13.54296875" style="1" bestFit="1" customWidth="1"/>
    <col min="6" max="6" width="12.453125" style="1" bestFit="1" customWidth="1"/>
    <col min="7" max="7" width="14" style="1" bestFit="1" customWidth="1"/>
    <col min="8" max="8" width="9.08984375" style="1" bestFit="1" customWidth="1"/>
    <col min="9" max="9" width="9.6328125" style="1" bestFit="1" customWidth="1"/>
    <col min="10" max="16384" width="8.7265625" style="1"/>
  </cols>
  <sheetData>
    <row r="1" spans="1:11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178</v>
      </c>
      <c r="G1" s="1" t="s">
        <v>179</v>
      </c>
      <c r="H1" s="1" t="s">
        <v>180</v>
      </c>
      <c r="I1" s="1" t="s">
        <v>181</v>
      </c>
      <c r="K1" s="4" t="s">
        <v>182</v>
      </c>
    </row>
    <row r="2" spans="1:11" ht="14.5" x14ac:dyDescent="0.35">
      <c r="A2" t="s">
        <v>5</v>
      </c>
      <c r="B2" t="s">
        <v>6</v>
      </c>
      <c r="C2" t="s">
        <v>7</v>
      </c>
      <c r="D2" s="2">
        <v>46248</v>
      </c>
      <c r="E2">
        <v>365</v>
      </c>
      <c r="F2" s="3">
        <f t="shared" ref="F2:F33" si="0">D2+E2</f>
        <v>46613</v>
      </c>
      <c r="G2" s="3">
        <f>F2-Calc!$B$3</f>
        <v>309</v>
      </c>
      <c r="H2" s="1" t="str">
        <f t="shared" ref="H2:H33" si="1">IF(G2&lt;0,"Overdue",IF(G2&lt;=30,"Due 30d","OK"))</f>
        <v>OK</v>
      </c>
      <c r="I2" s="1">
        <f>IF(G2&lt;0,-1,MIN(11,(YEAR(F2)-YEAR(Calc!$B$3))*12+MONTH(F2)-MONTH(Calc!$B$3)))</f>
        <v>10</v>
      </c>
    </row>
    <row r="3" spans="1:11" ht="14.5" x14ac:dyDescent="0.35">
      <c r="A3" t="s">
        <v>8</v>
      </c>
      <c r="B3" t="s">
        <v>9</v>
      </c>
      <c r="C3" t="s">
        <v>10</v>
      </c>
      <c r="D3" s="2">
        <v>46140</v>
      </c>
      <c r="E3">
        <v>180</v>
      </c>
      <c r="F3" s="3">
        <f t="shared" si="0"/>
        <v>46320</v>
      </c>
      <c r="G3" s="3">
        <f>F3-Calc!$B$3</f>
        <v>16</v>
      </c>
      <c r="H3" s="1" t="str">
        <f t="shared" si="1"/>
        <v>Due 30d</v>
      </c>
      <c r="I3" s="1">
        <f>IF(G3&lt;0,-1,MIN(11,(YEAR(F3)-YEAR(Calc!$B$3))*12+MONTH(F3)-MONTH(Calc!$B$3)))</f>
        <v>0</v>
      </c>
    </row>
    <row r="4" spans="1:11" ht="14.5" x14ac:dyDescent="0.35">
      <c r="A4" t="s">
        <v>11</v>
      </c>
      <c r="B4" t="s">
        <v>6</v>
      </c>
      <c r="C4" t="s">
        <v>7</v>
      </c>
      <c r="D4" s="2">
        <v>46079</v>
      </c>
      <c r="E4">
        <v>365</v>
      </c>
      <c r="F4" s="3">
        <f t="shared" si="0"/>
        <v>46444</v>
      </c>
      <c r="G4" s="3">
        <f>F4-Calc!$B$3</f>
        <v>140</v>
      </c>
      <c r="H4" s="1" t="str">
        <f t="shared" si="1"/>
        <v>OK</v>
      </c>
      <c r="I4" s="1">
        <f>IF(G4&lt;0,-1,MIN(11,(YEAR(F4)-YEAR(Calc!$B$3))*12+MONTH(F4)-MONTH(Calc!$B$3)))</f>
        <v>4</v>
      </c>
    </row>
    <row r="5" spans="1:11" ht="14.5" x14ac:dyDescent="0.35">
      <c r="A5" t="s">
        <v>12</v>
      </c>
      <c r="B5" t="s">
        <v>6</v>
      </c>
      <c r="C5" t="s">
        <v>7</v>
      </c>
      <c r="D5" s="2">
        <v>46225</v>
      </c>
      <c r="E5">
        <v>365</v>
      </c>
      <c r="F5" s="3">
        <f t="shared" si="0"/>
        <v>46590</v>
      </c>
      <c r="G5" s="3">
        <f>F5-Calc!$B$3</f>
        <v>286</v>
      </c>
      <c r="H5" s="1" t="str">
        <f t="shared" si="1"/>
        <v>OK</v>
      </c>
      <c r="I5" s="1">
        <f>IF(G5&lt;0,-1,MIN(11,(YEAR(F5)-YEAR(Calc!$B$3))*12+MONTH(F5)-MONTH(Calc!$B$3)))</f>
        <v>9</v>
      </c>
    </row>
    <row r="6" spans="1:11" ht="14.5" x14ac:dyDescent="0.35">
      <c r="A6" t="s">
        <v>13</v>
      </c>
      <c r="B6" t="s">
        <v>14</v>
      </c>
      <c r="C6" t="s">
        <v>15</v>
      </c>
      <c r="D6" s="2">
        <v>46133</v>
      </c>
      <c r="E6">
        <v>365</v>
      </c>
      <c r="F6" s="3">
        <f t="shared" si="0"/>
        <v>46498</v>
      </c>
      <c r="G6" s="3">
        <f>F6-Calc!$B$3</f>
        <v>194</v>
      </c>
      <c r="H6" s="1" t="str">
        <f t="shared" si="1"/>
        <v>OK</v>
      </c>
      <c r="I6" s="1">
        <f>IF(G6&lt;0,-1,MIN(11,(YEAR(F6)-YEAR(Calc!$B$3))*12+MONTH(F6)-MONTH(Calc!$B$3)))</f>
        <v>6</v>
      </c>
    </row>
    <row r="7" spans="1:11" ht="14.5" x14ac:dyDescent="0.35">
      <c r="A7" t="s">
        <v>16</v>
      </c>
      <c r="B7" t="s">
        <v>6</v>
      </c>
      <c r="C7" t="s">
        <v>17</v>
      </c>
      <c r="D7" s="2">
        <v>46216</v>
      </c>
      <c r="E7">
        <v>90</v>
      </c>
      <c r="F7" s="3">
        <f t="shared" si="0"/>
        <v>46306</v>
      </c>
      <c r="G7" s="3">
        <f>F7-Calc!$B$3</f>
        <v>2</v>
      </c>
      <c r="H7" s="1" t="str">
        <f t="shared" si="1"/>
        <v>Due 30d</v>
      </c>
      <c r="I7" s="1">
        <f>IF(G7&lt;0,-1,MIN(11,(YEAR(F7)-YEAR(Calc!$B$3))*12+MONTH(F7)-MONTH(Calc!$B$3)))</f>
        <v>0</v>
      </c>
    </row>
    <row r="8" spans="1:11" ht="14.5" x14ac:dyDescent="0.35">
      <c r="A8" t="s">
        <v>18</v>
      </c>
      <c r="B8" t="s">
        <v>19</v>
      </c>
      <c r="C8" t="s">
        <v>20</v>
      </c>
      <c r="D8" s="2">
        <v>46045</v>
      </c>
      <c r="E8">
        <v>365</v>
      </c>
      <c r="F8" s="3">
        <f t="shared" si="0"/>
        <v>46410</v>
      </c>
      <c r="G8" s="3">
        <f>F8-Calc!$B$3</f>
        <v>106</v>
      </c>
      <c r="H8" s="1" t="str">
        <f t="shared" si="1"/>
        <v>OK</v>
      </c>
      <c r="I8" s="1">
        <f>IF(G8&lt;0,-1,MIN(11,(YEAR(F8)-YEAR(Calc!$B$3))*12+MONTH(F8)-MONTH(Calc!$B$3)))</f>
        <v>3</v>
      </c>
    </row>
    <row r="9" spans="1:11" ht="14.5" x14ac:dyDescent="0.35">
      <c r="A9" t="s">
        <v>21</v>
      </c>
      <c r="B9" t="s">
        <v>6</v>
      </c>
      <c r="C9" t="s">
        <v>7</v>
      </c>
      <c r="D9" s="2">
        <v>46208</v>
      </c>
      <c r="E9">
        <v>365</v>
      </c>
      <c r="F9" s="3">
        <f t="shared" si="0"/>
        <v>46573</v>
      </c>
      <c r="G9" s="3">
        <f>F9-Calc!$B$3</f>
        <v>269</v>
      </c>
      <c r="H9" s="1" t="str">
        <f t="shared" si="1"/>
        <v>OK</v>
      </c>
      <c r="I9" s="1">
        <f>IF(G9&lt;0,-1,MIN(11,(YEAR(F9)-YEAR(Calc!$B$3))*12+MONTH(F9)-MONTH(Calc!$B$3)))</f>
        <v>9</v>
      </c>
    </row>
    <row r="10" spans="1:11" ht="14.5" x14ac:dyDescent="0.35">
      <c r="A10" t="s">
        <v>22</v>
      </c>
      <c r="B10" t="s">
        <v>19</v>
      </c>
      <c r="C10" t="s">
        <v>15</v>
      </c>
      <c r="D10" s="2">
        <v>45982</v>
      </c>
      <c r="E10">
        <v>365</v>
      </c>
      <c r="F10" s="3">
        <f t="shared" si="0"/>
        <v>46347</v>
      </c>
      <c r="G10" s="3">
        <f>F10-Calc!$B$3</f>
        <v>43</v>
      </c>
      <c r="H10" s="1" t="str">
        <f t="shared" si="1"/>
        <v>OK</v>
      </c>
      <c r="I10" s="1">
        <f>IF(G10&lt;0,-1,MIN(11,(YEAR(F10)-YEAR(Calc!$B$3))*12+MONTH(F10)-MONTH(Calc!$B$3)))</f>
        <v>1</v>
      </c>
    </row>
    <row r="11" spans="1:11" ht="14.5" x14ac:dyDescent="0.35">
      <c r="A11" t="s">
        <v>23</v>
      </c>
      <c r="B11" t="s">
        <v>14</v>
      </c>
      <c r="C11" t="s">
        <v>10</v>
      </c>
      <c r="D11" s="2">
        <v>46195</v>
      </c>
      <c r="E11">
        <v>180</v>
      </c>
      <c r="F11" s="3">
        <f t="shared" si="0"/>
        <v>46375</v>
      </c>
      <c r="G11" s="3">
        <f>F11-Calc!$B$3</f>
        <v>71</v>
      </c>
      <c r="H11" s="1" t="str">
        <f t="shared" si="1"/>
        <v>OK</v>
      </c>
      <c r="I11" s="1">
        <f>IF(G11&lt;0,-1,MIN(11,(YEAR(F11)-YEAR(Calc!$B$3))*12+MONTH(F11)-MONTH(Calc!$B$3)))</f>
        <v>2</v>
      </c>
    </row>
    <row r="12" spans="1:11" ht="14.5" x14ac:dyDescent="0.35">
      <c r="A12" t="s">
        <v>24</v>
      </c>
      <c r="B12" t="s">
        <v>6</v>
      </c>
      <c r="C12" t="s">
        <v>7</v>
      </c>
      <c r="D12" s="2">
        <v>45952</v>
      </c>
      <c r="E12">
        <v>365</v>
      </c>
      <c r="F12" s="3">
        <f t="shared" si="0"/>
        <v>46317</v>
      </c>
      <c r="G12" s="3">
        <f>F12-Calc!$B$3</f>
        <v>13</v>
      </c>
      <c r="H12" s="1" t="str">
        <f t="shared" si="1"/>
        <v>Due 30d</v>
      </c>
      <c r="I12" s="1">
        <f>IF(G12&lt;0,-1,MIN(11,(YEAR(F12)-YEAR(Calc!$B$3))*12+MONTH(F12)-MONTH(Calc!$B$3)))</f>
        <v>0</v>
      </c>
    </row>
    <row r="13" spans="1:11" ht="14.5" x14ac:dyDescent="0.35">
      <c r="A13" t="s">
        <v>25</v>
      </c>
      <c r="B13" t="s">
        <v>14</v>
      </c>
      <c r="C13" t="s">
        <v>10</v>
      </c>
      <c r="D13" s="2">
        <v>46261</v>
      </c>
      <c r="E13">
        <v>180</v>
      </c>
      <c r="F13" s="3">
        <f t="shared" si="0"/>
        <v>46441</v>
      </c>
      <c r="G13" s="3">
        <f>F13-Calc!$B$3</f>
        <v>137</v>
      </c>
      <c r="H13" s="1" t="str">
        <f t="shared" si="1"/>
        <v>OK</v>
      </c>
      <c r="I13" s="1">
        <f>IF(G13&lt;0,-1,MIN(11,(YEAR(F13)-YEAR(Calc!$B$3))*12+MONTH(F13)-MONTH(Calc!$B$3)))</f>
        <v>4</v>
      </c>
    </row>
    <row r="14" spans="1:11" ht="14.5" x14ac:dyDescent="0.35">
      <c r="A14" t="s">
        <v>26</v>
      </c>
      <c r="B14" t="s">
        <v>6</v>
      </c>
      <c r="C14" t="s">
        <v>27</v>
      </c>
      <c r="D14" s="2">
        <v>46264</v>
      </c>
      <c r="E14">
        <v>90</v>
      </c>
      <c r="F14" s="3">
        <f t="shared" si="0"/>
        <v>46354</v>
      </c>
      <c r="G14" s="3">
        <f>F14-Calc!$B$3</f>
        <v>50</v>
      </c>
      <c r="H14" s="1" t="str">
        <f t="shared" si="1"/>
        <v>OK</v>
      </c>
      <c r="I14" s="1">
        <f>IF(G14&lt;0,-1,MIN(11,(YEAR(F14)-YEAR(Calc!$B$3))*12+MONTH(F14)-MONTH(Calc!$B$3)))</f>
        <v>1</v>
      </c>
    </row>
    <row r="15" spans="1:11" ht="14.5" x14ac:dyDescent="0.35">
      <c r="A15" t="s">
        <v>28</v>
      </c>
      <c r="B15" t="s">
        <v>9</v>
      </c>
      <c r="C15" t="s">
        <v>20</v>
      </c>
      <c r="D15" s="2">
        <v>46012</v>
      </c>
      <c r="E15">
        <v>365</v>
      </c>
      <c r="F15" s="3">
        <f t="shared" si="0"/>
        <v>46377</v>
      </c>
      <c r="G15" s="3">
        <f>F15-Calc!$B$3</f>
        <v>73</v>
      </c>
      <c r="H15" s="1" t="str">
        <f t="shared" si="1"/>
        <v>OK</v>
      </c>
      <c r="I15" s="1">
        <f>IF(G15&lt;0,-1,MIN(11,(YEAR(F15)-YEAR(Calc!$B$3))*12+MONTH(F15)-MONTH(Calc!$B$3)))</f>
        <v>2</v>
      </c>
    </row>
    <row r="16" spans="1:11" ht="14.5" x14ac:dyDescent="0.35">
      <c r="A16" t="s">
        <v>29</v>
      </c>
      <c r="B16" t="s">
        <v>14</v>
      </c>
      <c r="C16" t="s">
        <v>10</v>
      </c>
      <c r="D16" s="2">
        <v>46233</v>
      </c>
      <c r="E16">
        <v>180</v>
      </c>
      <c r="F16" s="3">
        <f t="shared" si="0"/>
        <v>46413</v>
      </c>
      <c r="G16" s="3">
        <f>F16-Calc!$B$3</f>
        <v>109</v>
      </c>
      <c r="H16" s="1" t="str">
        <f t="shared" si="1"/>
        <v>OK</v>
      </c>
      <c r="I16" s="1">
        <f>IF(G16&lt;0,-1,MIN(11,(YEAR(F16)-YEAR(Calc!$B$3))*12+MONTH(F16)-MONTH(Calc!$B$3)))</f>
        <v>3</v>
      </c>
    </row>
    <row r="17" spans="1:9" ht="14.5" x14ac:dyDescent="0.35">
      <c r="A17" t="s">
        <v>30</v>
      </c>
      <c r="B17" t="s">
        <v>6</v>
      </c>
      <c r="C17" t="s">
        <v>31</v>
      </c>
      <c r="D17" s="2">
        <v>46138</v>
      </c>
      <c r="E17">
        <v>180</v>
      </c>
      <c r="F17" s="3">
        <f t="shared" si="0"/>
        <v>46318</v>
      </c>
      <c r="G17" s="3">
        <f>F17-Calc!$B$3</f>
        <v>14</v>
      </c>
      <c r="H17" s="1" t="str">
        <f t="shared" si="1"/>
        <v>Due 30d</v>
      </c>
      <c r="I17" s="1">
        <f>IF(G17&lt;0,-1,MIN(11,(YEAR(F17)-YEAR(Calc!$B$3))*12+MONTH(F17)-MONTH(Calc!$B$3)))</f>
        <v>0</v>
      </c>
    </row>
    <row r="18" spans="1:9" ht="14.5" x14ac:dyDescent="0.35">
      <c r="A18" t="s">
        <v>32</v>
      </c>
      <c r="B18" t="s">
        <v>6</v>
      </c>
      <c r="C18" t="s">
        <v>7</v>
      </c>
      <c r="D18" s="2">
        <v>46010</v>
      </c>
      <c r="E18">
        <v>365</v>
      </c>
      <c r="F18" s="3">
        <f t="shared" si="0"/>
        <v>46375</v>
      </c>
      <c r="G18" s="3">
        <f>F18-Calc!$B$3</f>
        <v>71</v>
      </c>
      <c r="H18" s="1" t="str">
        <f t="shared" si="1"/>
        <v>OK</v>
      </c>
      <c r="I18" s="1">
        <f>IF(G18&lt;0,-1,MIN(11,(YEAR(F18)-YEAR(Calc!$B$3))*12+MONTH(F18)-MONTH(Calc!$B$3)))</f>
        <v>2</v>
      </c>
    </row>
    <row r="19" spans="1:9" ht="14.5" x14ac:dyDescent="0.35">
      <c r="A19" t="s">
        <v>33</v>
      </c>
      <c r="B19" t="s">
        <v>9</v>
      </c>
      <c r="C19" t="s">
        <v>34</v>
      </c>
      <c r="D19" s="2">
        <v>46220</v>
      </c>
      <c r="E19">
        <v>180</v>
      </c>
      <c r="F19" s="3">
        <f t="shared" si="0"/>
        <v>46400</v>
      </c>
      <c r="G19" s="3">
        <f>F19-Calc!$B$3</f>
        <v>96</v>
      </c>
      <c r="H19" s="1" t="str">
        <f t="shared" si="1"/>
        <v>OK</v>
      </c>
      <c r="I19" s="1">
        <f>IF(G19&lt;0,-1,MIN(11,(YEAR(F19)-YEAR(Calc!$B$3))*12+MONTH(F19)-MONTH(Calc!$B$3)))</f>
        <v>3</v>
      </c>
    </row>
    <row r="20" spans="1:9" ht="14.5" x14ac:dyDescent="0.35">
      <c r="A20" t="s">
        <v>35</v>
      </c>
      <c r="B20" t="s">
        <v>9</v>
      </c>
      <c r="C20" t="s">
        <v>27</v>
      </c>
      <c r="D20" s="2">
        <v>46254</v>
      </c>
      <c r="E20">
        <v>90</v>
      </c>
      <c r="F20" s="3">
        <f t="shared" si="0"/>
        <v>46344</v>
      </c>
      <c r="G20" s="3">
        <f>F20-Calc!$B$3</f>
        <v>40</v>
      </c>
      <c r="H20" s="1" t="str">
        <f t="shared" si="1"/>
        <v>OK</v>
      </c>
      <c r="I20" s="1">
        <f>IF(G20&lt;0,-1,MIN(11,(YEAR(F20)-YEAR(Calc!$B$3))*12+MONTH(F20)-MONTH(Calc!$B$3)))</f>
        <v>1</v>
      </c>
    </row>
    <row r="21" spans="1:9" ht="14.5" x14ac:dyDescent="0.35">
      <c r="A21" t="s">
        <v>36</v>
      </c>
      <c r="B21" t="s">
        <v>6</v>
      </c>
      <c r="C21" t="s">
        <v>7</v>
      </c>
      <c r="D21" s="2">
        <v>46221</v>
      </c>
      <c r="E21">
        <v>365</v>
      </c>
      <c r="F21" s="3">
        <f t="shared" si="0"/>
        <v>46586</v>
      </c>
      <c r="G21" s="3">
        <f>F21-Calc!$B$3</f>
        <v>282</v>
      </c>
      <c r="H21" s="1" t="str">
        <f t="shared" si="1"/>
        <v>OK</v>
      </c>
      <c r="I21" s="1">
        <f>IF(G21&lt;0,-1,MIN(11,(YEAR(F21)-YEAR(Calc!$B$3))*12+MONTH(F21)-MONTH(Calc!$B$3)))</f>
        <v>9</v>
      </c>
    </row>
    <row r="22" spans="1:9" ht="14.5" x14ac:dyDescent="0.35">
      <c r="A22" t="s">
        <v>37</v>
      </c>
      <c r="B22" t="s">
        <v>6</v>
      </c>
      <c r="C22" t="s">
        <v>27</v>
      </c>
      <c r="D22" s="2">
        <v>46254</v>
      </c>
      <c r="E22">
        <v>90</v>
      </c>
      <c r="F22" s="3">
        <f t="shared" si="0"/>
        <v>46344</v>
      </c>
      <c r="G22" s="3">
        <f>F22-Calc!$B$3</f>
        <v>40</v>
      </c>
      <c r="H22" s="1" t="str">
        <f t="shared" si="1"/>
        <v>OK</v>
      </c>
      <c r="I22" s="1">
        <f>IF(G22&lt;0,-1,MIN(11,(YEAR(F22)-YEAR(Calc!$B$3))*12+MONTH(F22)-MONTH(Calc!$B$3)))</f>
        <v>1</v>
      </c>
    </row>
    <row r="23" spans="1:9" ht="14.5" x14ac:dyDescent="0.35">
      <c r="A23" t="s">
        <v>38</v>
      </c>
      <c r="B23" t="s">
        <v>6</v>
      </c>
      <c r="C23" t="s">
        <v>17</v>
      </c>
      <c r="D23" s="2">
        <v>46248</v>
      </c>
      <c r="E23">
        <v>90</v>
      </c>
      <c r="F23" s="3">
        <f t="shared" si="0"/>
        <v>46338</v>
      </c>
      <c r="G23" s="3">
        <f>F23-Calc!$B$3</f>
        <v>34</v>
      </c>
      <c r="H23" s="1" t="str">
        <f t="shared" si="1"/>
        <v>OK</v>
      </c>
      <c r="I23" s="1">
        <f>IF(G23&lt;0,-1,MIN(11,(YEAR(F23)-YEAR(Calc!$B$3))*12+MONTH(F23)-MONTH(Calc!$B$3)))</f>
        <v>1</v>
      </c>
    </row>
    <row r="24" spans="1:9" ht="14.5" x14ac:dyDescent="0.35">
      <c r="A24" t="s">
        <v>39</v>
      </c>
      <c r="B24" t="s">
        <v>9</v>
      </c>
      <c r="C24" t="s">
        <v>17</v>
      </c>
      <c r="D24" s="2">
        <v>46231</v>
      </c>
      <c r="E24">
        <v>90</v>
      </c>
      <c r="F24" s="3">
        <f t="shared" si="0"/>
        <v>46321</v>
      </c>
      <c r="G24" s="3">
        <f>F24-Calc!$B$3</f>
        <v>17</v>
      </c>
      <c r="H24" s="1" t="str">
        <f t="shared" si="1"/>
        <v>Due 30d</v>
      </c>
      <c r="I24" s="1">
        <f>IF(G24&lt;0,-1,MIN(11,(YEAR(F24)-YEAR(Calc!$B$3))*12+MONTH(F24)-MONTH(Calc!$B$3)))</f>
        <v>0</v>
      </c>
    </row>
    <row r="25" spans="1:9" ht="14.5" x14ac:dyDescent="0.35">
      <c r="A25" t="s">
        <v>40</v>
      </c>
      <c r="B25" t="s">
        <v>6</v>
      </c>
      <c r="C25" t="s">
        <v>31</v>
      </c>
      <c r="D25" s="2">
        <v>46139</v>
      </c>
      <c r="E25">
        <v>180</v>
      </c>
      <c r="F25" s="3">
        <f t="shared" si="0"/>
        <v>46319</v>
      </c>
      <c r="G25" s="3">
        <f>F25-Calc!$B$3</f>
        <v>15</v>
      </c>
      <c r="H25" s="1" t="str">
        <f t="shared" si="1"/>
        <v>Due 30d</v>
      </c>
      <c r="I25" s="1">
        <f>IF(G25&lt;0,-1,MIN(11,(YEAR(F25)-YEAR(Calc!$B$3))*12+MONTH(F25)-MONTH(Calc!$B$3)))</f>
        <v>0</v>
      </c>
    </row>
    <row r="26" spans="1:9" ht="14.5" x14ac:dyDescent="0.35">
      <c r="A26" t="s">
        <v>41</v>
      </c>
      <c r="B26" t="s">
        <v>9</v>
      </c>
      <c r="C26" t="s">
        <v>10</v>
      </c>
      <c r="D26" s="2">
        <v>46160</v>
      </c>
      <c r="E26">
        <v>180</v>
      </c>
      <c r="F26" s="3">
        <f t="shared" si="0"/>
        <v>46340</v>
      </c>
      <c r="G26" s="3">
        <f>F26-Calc!$B$3</f>
        <v>36</v>
      </c>
      <c r="H26" s="1" t="str">
        <f t="shared" si="1"/>
        <v>OK</v>
      </c>
      <c r="I26" s="1">
        <f>IF(G26&lt;0,-1,MIN(11,(YEAR(F26)-YEAR(Calc!$B$3))*12+MONTH(F26)-MONTH(Calc!$B$3)))</f>
        <v>1</v>
      </c>
    </row>
    <row r="27" spans="1:9" ht="14.5" x14ac:dyDescent="0.35">
      <c r="A27" t="s">
        <v>42</v>
      </c>
      <c r="B27" t="s">
        <v>6</v>
      </c>
      <c r="C27" t="s">
        <v>7</v>
      </c>
      <c r="D27" s="2">
        <v>46152</v>
      </c>
      <c r="E27">
        <v>365</v>
      </c>
      <c r="F27" s="3">
        <f t="shared" si="0"/>
        <v>46517</v>
      </c>
      <c r="G27" s="3">
        <f>F27-Calc!$B$3</f>
        <v>213</v>
      </c>
      <c r="H27" s="1" t="str">
        <f t="shared" si="1"/>
        <v>OK</v>
      </c>
      <c r="I27" s="1">
        <f>IF(G27&lt;0,-1,MIN(11,(YEAR(F27)-YEAR(Calc!$B$3))*12+MONTH(F27)-MONTH(Calc!$B$3)))</f>
        <v>7</v>
      </c>
    </row>
    <row r="28" spans="1:9" ht="14.5" x14ac:dyDescent="0.35">
      <c r="A28" t="s">
        <v>43</v>
      </c>
      <c r="B28" t="s">
        <v>6</v>
      </c>
      <c r="C28" t="s">
        <v>7</v>
      </c>
      <c r="D28" s="2">
        <v>45947</v>
      </c>
      <c r="E28">
        <v>365</v>
      </c>
      <c r="F28" s="3">
        <f t="shared" si="0"/>
        <v>46312</v>
      </c>
      <c r="G28" s="3">
        <f>F28-Calc!$B$3</f>
        <v>8</v>
      </c>
      <c r="H28" s="1" t="str">
        <f t="shared" si="1"/>
        <v>Due 30d</v>
      </c>
      <c r="I28" s="1">
        <f>IF(G28&lt;0,-1,MIN(11,(YEAR(F28)-YEAR(Calc!$B$3))*12+MONTH(F28)-MONTH(Calc!$B$3)))</f>
        <v>0</v>
      </c>
    </row>
    <row r="29" spans="1:9" ht="14.5" x14ac:dyDescent="0.35">
      <c r="A29" t="s">
        <v>44</v>
      </c>
      <c r="B29" t="s">
        <v>6</v>
      </c>
      <c r="C29" t="s">
        <v>7</v>
      </c>
      <c r="D29" s="2">
        <v>46099</v>
      </c>
      <c r="E29">
        <v>365</v>
      </c>
      <c r="F29" s="3">
        <f t="shared" si="0"/>
        <v>46464</v>
      </c>
      <c r="G29" s="3">
        <f>F29-Calc!$B$3</f>
        <v>160</v>
      </c>
      <c r="H29" s="1" t="str">
        <f t="shared" si="1"/>
        <v>OK</v>
      </c>
      <c r="I29" s="1">
        <f>IF(G29&lt;0,-1,MIN(11,(YEAR(F29)-YEAR(Calc!$B$3))*12+MONTH(F29)-MONTH(Calc!$B$3)))</f>
        <v>5</v>
      </c>
    </row>
    <row r="30" spans="1:9" ht="14.5" x14ac:dyDescent="0.35">
      <c r="A30" t="s">
        <v>45</v>
      </c>
      <c r="B30" t="s">
        <v>9</v>
      </c>
      <c r="C30" t="s">
        <v>10</v>
      </c>
      <c r="D30" s="2">
        <v>46220</v>
      </c>
      <c r="E30">
        <v>180</v>
      </c>
      <c r="F30" s="3">
        <f t="shared" si="0"/>
        <v>46400</v>
      </c>
      <c r="G30" s="3">
        <f>F30-Calc!$B$3</f>
        <v>96</v>
      </c>
      <c r="H30" s="1" t="str">
        <f t="shared" si="1"/>
        <v>OK</v>
      </c>
      <c r="I30" s="1">
        <f>IF(G30&lt;0,-1,MIN(11,(YEAR(F30)-YEAR(Calc!$B$3))*12+MONTH(F30)-MONTH(Calc!$B$3)))</f>
        <v>3</v>
      </c>
    </row>
    <row r="31" spans="1:9" ht="14.5" x14ac:dyDescent="0.35">
      <c r="A31" t="s">
        <v>46</v>
      </c>
      <c r="B31" t="s">
        <v>47</v>
      </c>
      <c r="C31" t="s">
        <v>15</v>
      </c>
      <c r="D31" s="2">
        <v>45986</v>
      </c>
      <c r="E31">
        <v>365</v>
      </c>
      <c r="F31" s="3">
        <f t="shared" si="0"/>
        <v>46351</v>
      </c>
      <c r="G31" s="3">
        <f>F31-Calc!$B$3</f>
        <v>47</v>
      </c>
      <c r="H31" s="1" t="str">
        <f t="shared" si="1"/>
        <v>OK</v>
      </c>
      <c r="I31" s="1">
        <f>IF(G31&lt;0,-1,MIN(11,(YEAR(F31)-YEAR(Calc!$B$3))*12+MONTH(F31)-MONTH(Calc!$B$3)))</f>
        <v>1</v>
      </c>
    </row>
    <row r="32" spans="1:9" ht="14.5" x14ac:dyDescent="0.35">
      <c r="A32" t="s">
        <v>48</v>
      </c>
      <c r="B32" t="s">
        <v>19</v>
      </c>
      <c r="C32" t="s">
        <v>15</v>
      </c>
      <c r="D32" s="2">
        <v>45959</v>
      </c>
      <c r="E32">
        <v>365</v>
      </c>
      <c r="F32" s="3">
        <f t="shared" si="0"/>
        <v>46324</v>
      </c>
      <c r="G32" s="3">
        <f>F32-Calc!$B$3</f>
        <v>20</v>
      </c>
      <c r="H32" s="1" t="str">
        <f t="shared" si="1"/>
        <v>Due 30d</v>
      </c>
      <c r="I32" s="1">
        <f>IF(G32&lt;0,-1,MIN(11,(YEAR(F32)-YEAR(Calc!$B$3))*12+MONTH(F32)-MONTH(Calc!$B$3)))</f>
        <v>0</v>
      </c>
    </row>
    <row r="33" spans="1:9" ht="14.5" x14ac:dyDescent="0.35">
      <c r="A33" t="s">
        <v>49</v>
      </c>
      <c r="B33" t="s">
        <v>14</v>
      </c>
      <c r="C33" t="s">
        <v>17</v>
      </c>
      <c r="D33" s="2">
        <v>46243</v>
      </c>
      <c r="E33">
        <v>90</v>
      </c>
      <c r="F33" s="3">
        <f t="shared" si="0"/>
        <v>46333</v>
      </c>
      <c r="G33" s="3">
        <f>F33-Calc!$B$3</f>
        <v>29</v>
      </c>
      <c r="H33" s="1" t="str">
        <f t="shared" si="1"/>
        <v>Due 30d</v>
      </c>
      <c r="I33" s="1">
        <f>IF(G33&lt;0,-1,MIN(11,(YEAR(F33)-YEAR(Calc!$B$3))*12+MONTH(F33)-MONTH(Calc!$B$3)))</f>
        <v>1</v>
      </c>
    </row>
    <row r="34" spans="1:9" ht="14.5" x14ac:dyDescent="0.35">
      <c r="A34" t="s">
        <v>50</v>
      </c>
      <c r="B34" t="s">
        <v>6</v>
      </c>
      <c r="C34" t="s">
        <v>31</v>
      </c>
      <c r="D34" s="2">
        <v>46206</v>
      </c>
      <c r="E34">
        <v>180</v>
      </c>
      <c r="F34" s="3">
        <f t="shared" ref="F34:F65" si="2">D34+E34</f>
        <v>46386</v>
      </c>
      <c r="G34" s="3">
        <f>F34-Calc!$B$3</f>
        <v>82</v>
      </c>
      <c r="H34" s="1" t="str">
        <f t="shared" ref="H34:H65" si="3">IF(G34&lt;0,"Overdue",IF(G34&lt;=30,"Due 30d","OK"))</f>
        <v>OK</v>
      </c>
      <c r="I34" s="1">
        <f>IF(G34&lt;0,-1,MIN(11,(YEAR(F34)-YEAR(Calc!$B$3))*12+MONTH(F34)-MONTH(Calc!$B$3)))</f>
        <v>2</v>
      </c>
    </row>
    <row r="35" spans="1:9" ht="14.5" x14ac:dyDescent="0.35">
      <c r="A35" t="s">
        <v>51</v>
      </c>
      <c r="B35" t="s">
        <v>9</v>
      </c>
      <c r="C35" t="s">
        <v>10</v>
      </c>
      <c r="D35" s="2">
        <v>46227</v>
      </c>
      <c r="E35">
        <v>180</v>
      </c>
      <c r="F35" s="3">
        <f t="shared" si="2"/>
        <v>46407</v>
      </c>
      <c r="G35" s="3">
        <f>F35-Calc!$B$3</f>
        <v>103</v>
      </c>
      <c r="H35" s="1" t="str">
        <f t="shared" si="3"/>
        <v>OK</v>
      </c>
      <c r="I35" s="1">
        <f>IF(G35&lt;0,-1,MIN(11,(YEAR(F35)-YEAR(Calc!$B$3))*12+MONTH(F35)-MONTH(Calc!$B$3)))</f>
        <v>3</v>
      </c>
    </row>
    <row r="36" spans="1:9" ht="14.5" x14ac:dyDescent="0.35">
      <c r="A36" t="s">
        <v>52</v>
      </c>
      <c r="B36" t="s">
        <v>9</v>
      </c>
      <c r="C36" t="s">
        <v>27</v>
      </c>
      <c r="D36" s="2">
        <v>46212</v>
      </c>
      <c r="E36">
        <v>90</v>
      </c>
      <c r="F36" s="3">
        <f t="shared" si="2"/>
        <v>46302</v>
      </c>
      <c r="G36" s="3">
        <f>F36-Calc!$B$3</f>
        <v>-2</v>
      </c>
      <c r="H36" s="1" t="str">
        <f t="shared" si="3"/>
        <v>Overdue</v>
      </c>
      <c r="I36" s="1">
        <f>IF(G36&lt;0,-1,MIN(11,(YEAR(F36)-YEAR(Calc!$B$3))*12+MONTH(F36)-MONTH(Calc!$B$3)))</f>
        <v>-1</v>
      </c>
    </row>
    <row r="37" spans="1:9" ht="14.5" x14ac:dyDescent="0.35">
      <c r="A37" t="s">
        <v>53</v>
      </c>
      <c r="B37" t="s">
        <v>6</v>
      </c>
      <c r="C37" t="s">
        <v>34</v>
      </c>
      <c r="D37" s="2">
        <v>46178</v>
      </c>
      <c r="E37">
        <v>180</v>
      </c>
      <c r="F37" s="3">
        <f t="shared" si="2"/>
        <v>46358</v>
      </c>
      <c r="G37" s="3">
        <f>F37-Calc!$B$3</f>
        <v>54</v>
      </c>
      <c r="H37" s="1" t="str">
        <f t="shared" si="3"/>
        <v>OK</v>
      </c>
      <c r="I37" s="1">
        <f>IF(G37&lt;0,-1,MIN(11,(YEAR(F37)-YEAR(Calc!$B$3))*12+MONTH(F37)-MONTH(Calc!$B$3)))</f>
        <v>2</v>
      </c>
    </row>
    <row r="38" spans="1:9" ht="14.5" x14ac:dyDescent="0.35">
      <c r="A38" t="s">
        <v>54</v>
      </c>
      <c r="B38" t="s">
        <v>19</v>
      </c>
      <c r="C38" t="s">
        <v>15</v>
      </c>
      <c r="D38" s="2">
        <v>46048</v>
      </c>
      <c r="E38">
        <v>365</v>
      </c>
      <c r="F38" s="3">
        <f t="shared" si="2"/>
        <v>46413</v>
      </c>
      <c r="G38" s="3">
        <f>F38-Calc!$B$3</f>
        <v>109</v>
      </c>
      <c r="H38" s="1" t="str">
        <f t="shared" si="3"/>
        <v>OK</v>
      </c>
      <c r="I38" s="1">
        <f>IF(G38&lt;0,-1,MIN(11,(YEAR(F38)-YEAR(Calc!$B$3))*12+MONTH(F38)-MONTH(Calc!$B$3)))</f>
        <v>3</v>
      </c>
    </row>
    <row r="39" spans="1:9" ht="14.5" x14ac:dyDescent="0.35">
      <c r="A39" t="s">
        <v>55</v>
      </c>
      <c r="B39" t="s">
        <v>9</v>
      </c>
      <c r="C39" t="s">
        <v>27</v>
      </c>
      <c r="D39" s="2">
        <v>46210</v>
      </c>
      <c r="E39">
        <v>90</v>
      </c>
      <c r="F39" s="3">
        <f t="shared" si="2"/>
        <v>46300</v>
      </c>
      <c r="G39" s="3">
        <f>F39-Calc!$B$3</f>
        <v>-4</v>
      </c>
      <c r="H39" s="1" t="str">
        <f t="shared" si="3"/>
        <v>Overdue</v>
      </c>
      <c r="I39" s="1">
        <f>IF(G39&lt;0,-1,MIN(11,(YEAR(F39)-YEAR(Calc!$B$3))*12+MONTH(F39)-MONTH(Calc!$B$3)))</f>
        <v>-1</v>
      </c>
    </row>
    <row r="40" spans="1:9" ht="14.5" x14ac:dyDescent="0.35">
      <c r="A40" t="s">
        <v>56</v>
      </c>
      <c r="B40" t="s">
        <v>6</v>
      </c>
      <c r="C40" t="s">
        <v>17</v>
      </c>
      <c r="D40" s="2">
        <v>46248</v>
      </c>
      <c r="E40">
        <v>90</v>
      </c>
      <c r="F40" s="3">
        <f t="shared" si="2"/>
        <v>46338</v>
      </c>
      <c r="G40" s="3">
        <f>F40-Calc!$B$3</f>
        <v>34</v>
      </c>
      <c r="H40" s="1" t="str">
        <f t="shared" si="3"/>
        <v>OK</v>
      </c>
      <c r="I40" s="1">
        <f>IF(G40&lt;0,-1,MIN(11,(YEAR(F40)-YEAR(Calc!$B$3))*12+MONTH(F40)-MONTH(Calc!$B$3)))</f>
        <v>1</v>
      </c>
    </row>
    <row r="41" spans="1:9" ht="14.5" x14ac:dyDescent="0.35">
      <c r="A41" t="s">
        <v>57</v>
      </c>
      <c r="B41" t="s">
        <v>6</v>
      </c>
      <c r="C41" t="s">
        <v>7</v>
      </c>
      <c r="D41" s="2">
        <v>45949</v>
      </c>
      <c r="E41">
        <v>365</v>
      </c>
      <c r="F41" s="3">
        <f t="shared" si="2"/>
        <v>46314</v>
      </c>
      <c r="G41" s="3">
        <f>F41-Calc!$B$3</f>
        <v>10</v>
      </c>
      <c r="H41" s="1" t="str">
        <f t="shared" si="3"/>
        <v>Due 30d</v>
      </c>
      <c r="I41" s="1">
        <f>IF(G41&lt;0,-1,MIN(11,(YEAR(F41)-YEAR(Calc!$B$3))*12+MONTH(F41)-MONTH(Calc!$B$3)))</f>
        <v>0</v>
      </c>
    </row>
    <row r="42" spans="1:9" ht="14.5" x14ac:dyDescent="0.35">
      <c r="A42" t="s">
        <v>58</v>
      </c>
      <c r="B42" t="s">
        <v>14</v>
      </c>
      <c r="C42" t="s">
        <v>17</v>
      </c>
      <c r="D42" s="2">
        <v>46273</v>
      </c>
      <c r="E42">
        <v>90</v>
      </c>
      <c r="F42" s="3">
        <f t="shared" si="2"/>
        <v>46363</v>
      </c>
      <c r="G42" s="3">
        <f>F42-Calc!$B$3</f>
        <v>59</v>
      </c>
      <c r="H42" s="1" t="str">
        <f t="shared" si="3"/>
        <v>OK</v>
      </c>
      <c r="I42" s="1">
        <f>IF(G42&lt;0,-1,MIN(11,(YEAR(F42)-YEAR(Calc!$B$3))*12+MONTH(F42)-MONTH(Calc!$B$3)))</f>
        <v>2</v>
      </c>
    </row>
    <row r="43" spans="1:9" ht="14.5" x14ac:dyDescent="0.35">
      <c r="A43" t="s">
        <v>59</v>
      </c>
      <c r="B43" t="s">
        <v>6</v>
      </c>
      <c r="C43" t="s">
        <v>7</v>
      </c>
      <c r="D43" s="2">
        <v>45967</v>
      </c>
      <c r="E43">
        <v>365</v>
      </c>
      <c r="F43" s="3">
        <f t="shared" si="2"/>
        <v>46332</v>
      </c>
      <c r="G43" s="3">
        <f>F43-Calc!$B$3</f>
        <v>28</v>
      </c>
      <c r="H43" s="1" t="str">
        <f t="shared" si="3"/>
        <v>Due 30d</v>
      </c>
      <c r="I43" s="1">
        <f>IF(G43&lt;0,-1,MIN(11,(YEAR(F43)-YEAR(Calc!$B$3))*12+MONTH(F43)-MONTH(Calc!$B$3)))</f>
        <v>1</v>
      </c>
    </row>
    <row r="44" spans="1:9" ht="14.5" x14ac:dyDescent="0.35">
      <c r="A44" t="s">
        <v>60</v>
      </c>
      <c r="B44" t="s">
        <v>6</v>
      </c>
      <c r="C44" t="s">
        <v>7</v>
      </c>
      <c r="D44" s="2">
        <v>46052</v>
      </c>
      <c r="E44">
        <v>365</v>
      </c>
      <c r="F44" s="3">
        <f t="shared" si="2"/>
        <v>46417</v>
      </c>
      <c r="G44" s="3">
        <f>F44-Calc!$B$3</f>
        <v>113</v>
      </c>
      <c r="H44" s="1" t="str">
        <f t="shared" si="3"/>
        <v>OK</v>
      </c>
      <c r="I44" s="1">
        <f>IF(G44&lt;0,-1,MIN(11,(YEAR(F44)-YEAR(Calc!$B$3))*12+MONTH(F44)-MONTH(Calc!$B$3)))</f>
        <v>3</v>
      </c>
    </row>
    <row r="45" spans="1:9" ht="14.5" x14ac:dyDescent="0.35">
      <c r="A45" t="s">
        <v>61</v>
      </c>
      <c r="B45" t="s">
        <v>6</v>
      </c>
      <c r="C45" t="s">
        <v>31</v>
      </c>
      <c r="D45" s="2">
        <v>46176</v>
      </c>
      <c r="E45">
        <v>180</v>
      </c>
      <c r="F45" s="3">
        <f t="shared" si="2"/>
        <v>46356</v>
      </c>
      <c r="G45" s="3">
        <f>F45-Calc!$B$3</f>
        <v>52</v>
      </c>
      <c r="H45" s="1" t="str">
        <f t="shared" si="3"/>
        <v>OK</v>
      </c>
      <c r="I45" s="1">
        <f>IF(G45&lt;0,-1,MIN(11,(YEAR(F45)-YEAR(Calc!$B$3))*12+MONTH(F45)-MONTH(Calc!$B$3)))</f>
        <v>1</v>
      </c>
    </row>
    <row r="46" spans="1:9" ht="14.5" x14ac:dyDescent="0.35">
      <c r="A46" t="s">
        <v>62</v>
      </c>
      <c r="B46" t="s">
        <v>6</v>
      </c>
      <c r="C46" t="s">
        <v>34</v>
      </c>
      <c r="D46" s="2">
        <v>46278</v>
      </c>
      <c r="E46">
        <v>180</v>
      </c>
      <c r="F46" s="3">
        <f t="shared" si="2"/>
        <v>46458</v>
      </c>
      <c r="G46" s="3">
        <f>F46-Calc!$B$3</f>
        <v>154</v>
      </c>
      <c r="H46" s="1" t="str">
        <f t="shared" si="3"/>
        <v>OK</v>
      </c>
      <c r="I46" s="1">
        <f>IF(G46&lt;0,-1,MIN(11,(YEAR(F46)-YEAR(Calc!$B$3))*12+MONTH(F46)-MONTH(Calc!$B$3)))</f>
        <v>5</v>
      </c>
    </row>
    <row r="47" spans="1:9" ht="14.5" x14ac:dyDescent="0.35">
      <c r="A47" t="s">
        <v>63</v>
      </c>
      <c r="B47" t="s">
        <v>47</v>
      </c>
      <c r="C47" t="s">
        <v>15</v>
      </c>
      <c r="D47" s="2">
        <v>45953</v>
      </c>
      <c r="E47">
        <v>365</v>
      </c>
      <c r="F47" s="3">
        <f t="shared" si="2"/>
        <v>46318</v>
      </c>
      <c r="G47" s="3">
        <f>F47-Calc!$B$3</f>
        <v>14</v>
      </c>
      <c r="H47" s="1" t="str">
        <f t="shared" si="3"/>
        <v>Due 30d</v>
      </c>
      <c r="I47" s="1">
        <f>IF(G47&lt;0,-1,MIN(11,(YEAR(F47)-YEAR(Calc!$B$3))*12+MONTH(F47)-MONTH(Calc!$B$3)))</f>
        <v>0</v>
      </c>
    </row>
    <row r="48" spans="1:9" ht="14.5" x14ac:dyDescent="0.35">
      <c r="A48" t="s">
        <v>64</v>
      </c>
      <c r="B48" t="s">
        <v>47</v>
      </c>
      <c r="C48" t="s">
        <v>15</v>
      </c>
      <c r="D48" s="2">
        <v>45945</v>
      </c>
      <c r="E48">
        <v>365</v>
      </c>
      <c r="F48" s="3">
        <f t="shared" si="2"/>
        <v>46310</v>
      </c>
      <c r="G48" s="3">
        <f>F48-Calc!$B$3</f>
        <v>6</v>
      </c>
      <c r="H48" s="1" t="str">
        <f t="shared" si="3"/>
        <v>Due 30d</v>
      </c>
      <c r="I48" s="1">
        <f>IF(G48&lt;0,-1,MIN(11,(YEAR(F48)-YEAR(Calc!$B$3))*12+MONTH(F48)-MONTH(Calc!$B$3)))</f>
        <v>0</v>
      </c>
    </row>
    <row r="49" spans="1:9" ht="14.5" x14ac:dyDescent="0.35">
      <c r="A49" t="s">
        <v>65</v>
      </c>
      <c r="B49" t="s">
        <v>14</v>
      </c>
      <c r="C49" t="s">
        <v>10</v>
      </c>
      <c r="D49" s="2">
        <v>46168</v>
      </c>
      <c r="E49">
        <v>180</v>
      </c>
      <c r="F49" s="3">
        <f t="shared" si="2"/>
        <v>46348</v>
      </c>
      <c r="G49" s="3">
        <f>F49-Calc!$B$3</f>
        <v>44</v>
      </c>
      <c r="H49" s="1" t="str">
        <f t="shared" si="3"/>
        <v>OK</v>
      </c>
      <c r="I49" s="1">
        <f>IF(G49&lt;0,-1,MIN(11,(YEAR(F49)-YEAR(Calc!$B$3))*12+MONTH(F49)-MONTH(Calc!$B$3)))</f>
        <v>1</v>
      </c>
    </row>
    <row r="50" spans="1:9" ht="14.5" x14ac:dyDescent="0.35">
      <c r="A50" t="s">
        <v>66</v>
      </c>
      <c r="B50" t="s">
        <v>14</v>
      </c>
      <c r="C50" t="s">
        <v>17</v>
      </c>
      <c r="D50" s="2">
        <v>46263</v>
      </c>
      <c r="E50">
        <v>90</v>
      </c>
      <c r="F50" s="3">
        <f t="shared" si="2"/>
        <v>46353</v>
      </c>
      <c r="G50" s="3">
        <f>F50-Calc!$B$3</f>
        <v>49</v>
      </c>
      <c r="H50" s="1" t="str">
        <f t="shared" si="3"/>
        <v>OK</v>
      </c>
      <c r="I50" s="1">
        <f>IF(G50&lt;0,-1,MIN(11,(YEAR(F50)-YEAR(Calc!$B$3))*12+MONTH(F50)-MONTH(Calc!$B$3)))</f>
        <v>1</v>
      </c>
    </row>
    <row r="51" spans="1:9" ht="14.5" x14ac:dyDescent="0.35">
      <c r="A51" t="s">
        <v>67</v>
      </c>
      <c r="B51" t="s">
        <v>6</v>
      </c>
      <c r="C51" t="s">
        <v>7</v>
      </c>
      <c r="D51" s="2">
        <v>46161</v>
      </c>
      <c r="E51">
        <v>365</v>
      </c>
      <c r="F51" s="3">
        <f t="shared" si="2"/>
        <v>46526</v>
      </c>
      <c r="G51" s="3">
        <f>F51-Calc!$B$3</f>
        <v>222</v>
      </c>
      <c r="H51" s="1" t="str">
        <f t="shared" si="3"/>
        <v>OK</v>
      </c>
      <c r="I51" s="1">
        <f>IF(G51&lt;0,-1,MIN(11,(YEAR(F51)-YEAR(Calc!$B$3))*12+MONTH(F51)-MONTH(Calc!$B$3)))</f>
        <v>7</v>
      </c>
    </row>
    <row r="52" spans="1:9" ht="14.5" x14ac:dyDescent="0.35">
      <c r="A52" t="s">
        <v>68</v>
      </c>
      <c r="B52" t="s">
        <v>6</v>
      </c>
      <c r="C52" t="s">
        <v>7</v>
      </c>
      <c r="D52" s="2">
        <v>46225</v>
      </c>
      <c r="E52">
        <v>365</v>
      </c>
      <c r="F52" s="3">
        <f t="shared" si="2"/>
        <v>46590</v>
      </c>
      <c r="G52" s="3">
        <f>F52-Calc!$B$3</f>
        <v>286</v>
      </c>
      <c r="H52" s="1" t="str">
        <f t="shared" si="3"/>
        <v>OK</v>
      </c>
      <c r="I52" s="1">
        <f>IF(G52&lt;0,-1,MIN(11,(YEAR(F52)-YEAR(Calc!$B$3))*12+MONTH(F52)-MONTH(Calc!$B$3)))</f>
        <v>9</v>
      </c>
    </row>
    <row r="53" spans="1:9" ht="14.5" x14ac:dyDescent="0.35">
      <c r="A53" t="s">
        <v>69</v>
      </c>
      <c r="B53" t="s">
        <v>14</v>
      </c>
      <c r="C53" t="s">
        <v>15</v>
      </c>
      <c r="D53" s="2">
        <v>46032</v>
      </c>
      <c r="E53">
        <v>365</v>
      </c>
      <c r="F53" s="3">
        <f t="shared" si="2"/>
        <v>46397</v>
      </c>
      <c r="G53" s="3">
        <f>F53-Calc!$B$3</f>
        <v>93</v>
      </c>
      <c r="H53" s="1" t="str">
        <f t="shared" si="3"/>
        <v>OK</v>
      </c>
      <c r="I53" s="1">
        <f>IF(G53&lt;0,-1,MIN(11,(YEAR(F53)-YEAR(Calc!$B$3))*12+MONTH(F53)-MONTH(Calc!$B$3)))</f>
        <v>3</v>
      </c>
    </row>
    <row r="54" spans="1:9" ht="14.5" x14ac:dyDescent="0.35">
      <c r="A54" t="s">
        <v>70</v>
      </c>
      <c r="B54" t="s">
        <v>6</v>
      </c>
      <c r="C54" t="s">
        <v>17</v>
      </c>
      <c r="D54" s="2">
        <v>46290</v>
      </c>
      <c r="E54">
        <v>90</v>
      </c>
      <c r="F54" s="3">
        <f t="shared" si="2"/>
        <v>46380</v>
      </c>
      <c r="G54" s="3">
        <f>F54-Calc!$B$3</f>
        <v>76</v>
      </c>
      <c r="H54" s="1" t="str">
        <f t="shared" si="3"/>
        <v>OK</v>
      </c>
      <c r="I54" s="1">
        <f>IF(G54&lt;0,-1,MIN(11,(YEAR(F54)-YEAR(Calc!$B$3))*12+MONTH(F54)-MONTH(Calc!$B$3)))</f>
        <v>2</v>
      </c>
    </row>
    <row r="55" spans="1:9" ht="14.5" x14ac:dyDescent="0.35">
      <c r="A55" t="s">
        <v>71</v>
      </c>
      <c r="B55" t="s">
        <v>9</v>
      </c>
      <c r="C55" t="s">
        <v>27</v>
      </c>
      <c r="D55" s="2">
        <v>46238</v>
      </c>
      <c r="E55">
        <v>90</v>
      </c>
      <c r="F55" s="3">
        <f t="shared" si="2"/>
        <v>46328</v>
      </c>
      <c r="G55" s="3">
        <f>F55-Calc!$B$3</f>
        <v>24</v>
      </c>
      <c r="H55" s="1" t="str">
        <f t="shared" si="3"/>
        <v>Due 30d</v>
      </c>
      <c r="I55" s="1">
        <f>IF(G55&lt;0,-1,MIN(11,(YEAR(F55)-YEAR(Calc!$B$3))*12+MONTH(F55)-MONTH(Calc!$B$3)))</f>
        <v>1</v>
      </c>
    </row>
    <row r="56" spans="1:9" ht="14.5" x14ac:dyDescent="0.35">
      <c r="A56" t="s">
        <v>72</v>
      </c>
      <c r="B56" t="s">
        <v>14</v>
      </c>
      <c r="C56" t="s">
        <v>27</v>
      </c>
      <c r="D56" s="2">
        <v>46236</v>
      </c>
      <c r="E56">
        <v>90</v>
      </c>
      <c r="F56" s="3">
        <f t="shared" si="2"/>
        <v>46326</v>
      </c>
      <c r="G56" s="3">
        <f>F56-Calc!$B$3</f>
        <v>22</v>
      </c>
      <c r="H56" s="1" t="str">
        <f t="shared" si="3"/>
        <v>Due 30d</v>
      </c>
      <c r="I56" s="1">
        <f>IF(G56&lt;0,-1,MIN(11,(YEAR(F56)-YEAR(Calc!$B$3))*12+MONTH(F56)-MONTH(Calc!$B$3)))</f>
        <v>0</v>
      </c>
    </row>
    <row r="57" spans="1:9" ht="14.5" x14ac:dyDescent="0.35">
      <c r="A57" t="s">
        <v>73</v>
      </c>
      <c r="B57" t="s">
        <v>6</v>
      </c>
      <c r="C57" t="s">
        <v>7</v>
      </c>
      <c r="D57" s="2">
        <v>46076</v>
      </c>
      <c r="E57">
        <v>365</v>
      </c>
      <c r="F57" s="3">
        <f t="shared" si="2"/>
        <v>46441</v>
      </c>
      <c r="G57" s="3">
        <f>F57-Calc!$B$3</f>
        <v>137</v>
      </c>
      <c r="H57" s="1" t="str">
        <f t="shared" si="3"/>
        <v>OK</v>
      </c>
      <c r="I57" s="1">
        <f>IF(G57&lt;0,-1,MIN(11,(YEAR(F57)-YEAR(Calc!$B$3))*12+MONTH(F57)-MONTH(Calc!$B$3)))</f>
        <v>4</v>
      </c>
    </row>
    <row r="58" spans="1:9" ht="14.5" x14ac:dyDescent="0.35">
      <c r="A58" t="s">
        <v>74</v>
      </c>
      <c r="B58" t="s">
        <v>6</v>
      </c>
      <c r="C58" t="s">
        <v>7</v>
      </c>
      <c r="D58" s="2">
        <v>46181</v>
      </c>
      <c r="E58">
        <v>365</v>
      </c>
      <c r="F58" s="3">
        <f t="shared" si="2"/>
        <v>46546</v>
      </c>
      <c r="G58" s="3">
        <f>F58-Calc!$B$3</f>
        <v>242</v>
      </c>
      <c r="H58" s="1" t="str">
        <f t="shared" si="3"/>
        <v>OK</v>
      </c>
      <c r="I58" s="1">
        <f>IF(G58&lt;0,-1,MIN(11,(YEAR(F58)-YEAR(Calc!$B$3))*12+MONTH(F58)-MONTH(Calc!$B$3)))</f>
        <v>8</v>
      </c>
    </row>
    <row r="59" spans="1:9" ht="14.5" x14ac:dyDescent="0.35">
      <c r="A59" t="s">
        <v>75</v>
      </c>
      <c r="B59" t="s">
        <v>14</v>
      </c>
      <c r="C59" t="s">
        <v>15</v>
      </c>
      <c r="D59" s="2">
        <v>46004</v>
      </c>
      <c r="E59">
        <v>365</v>
      </c>
      <c r="F59" s="3">
        <f t="shared" si="2"/>
        <v>46369</v>
      </c>
      <c r="G59" s="3">
        <f>F59-Calc!$B$3</f>
        <v>65</v>
      </c>
      <c r="H59" s="1" t="str">
        <f t="shared" si="3"/>
        <v>OK</v>
      </c>
      <c r="I59" s="1">
        <f>IF(G59&lt;0,-1,MIN(11,(YEAR(F59)-YEAR(Calc!$B$3))*12+MONTH(F59)-MONTH(Calc!$B$3)))</f>
        <v>2</v>
      </c>
    </row>
    <row r="60" spans="1:9" ht="14.5" x14ac:dyDescent="0.35">
      <c r="A60" t="s">
        <v>76</v>
      </c>
      <c r="B60" t="s">
        <v>6</v>
      </c>
      <c r="C60" t="s">
        <v>7</v>
      </c>
      <c r="D60" s="2">
        <v>46053</v>
      </c>
      <c r="E60">
        <v>365</v>
      </c>
      <c r="F60" s="3">
        <f t="shared" si="2"/>
        <v>46418</v>
      </c>
      <c r="G60" s="3">
        <f>F60-Calc!$B$3</f>
        <v>114</v>
      </c>
      <c r="H60" s="1" t="str">
        <f t="shared" si="3"/>
        <v>OK</v>
      </c>
      <c r="I60" s="1">
        <f>IF(G60&lt;0,-1,MIN(11,(YEAR(F60)-YEAR(Calc!$B$3))*12+MONTH(F60)-MONTH(Calc!$B$3)))</f>
        <v>3</v>
      </c>
    </row>
    <row r="61" spans="1:9" ht="14.5" x14ac:dyDescent="0.35">
      <c r="A61" t="s">
        <v>77</v>
      </c>
      <c r="B61" t="s">
        <v>47</v>
      </c>
      <c r="C61" t="s">
        <v>15</v>
      </c>
      <c r="D61" s="2">
        <v>46201</v>
      </c>
      <c r="E61">
        <v>365</v>
      </c>
      <c r="F61" s="3">
        <f t="shared" si="2"/>
        <v>46566</v>
      </c>
      <c r="G61" s="3">
        <f>F61-Calc!$B$3</f>
        <v>262</v>
      </c>
      <c r="H61" s="1" t="str">
        <f t="shared" si="3"/>
        <v>OK</v>
      </c>
      <c r="I61" s="1">
        <f>IF(G61&lt;0,-1,MIN(11,(YEAR(F61)-YEAR(Calc!$B$3))*12+MONTH(F61)-MONTH(Calc!$B$3)))</f>
        <v>8</v>
      </c>
    </row>
    <row r="62" spans="1:9" ht="14.5" x14ac:dyDescent="0.35">
      <c r="A62" t="s">
        <v>78</v>
      </c>
      <c r="B62" t="s">
        <v>9</v>
      </c>
      <c r="C62" t="s">
        <v>10</v>
      </c>
      <c r="D62" s="2">
        <v>46214</v>
      </c>
      <c r="E62">
        <v>180</v>
      </c>
      <c r="F62" s="3">
        <f t="shared" si="2"/>
        <v>46394</v>
      </c>
      <c r="G62" s="3">
        <f>F62-Calc!$B$3</f>
        <v>90</v>
      </c>
      <c r="H62" s="1" t="str">
        <f t="shared" si="3"/>
        <v>OK</v>
      </c>
      <c r="I62" s="1">
        <f>IF(G62&lt;0,-1,MIN(11,(YEAR(F62)-YEAR(Calc!$B$3))*12+MONTH(F62)-MONTH(Calc!$B$3)))</f>
        <v>3</v>
      </c>
    </row>
    <row r="63" spans="1:9" ht="14.5" x14ac:dyDescent="0.35">
      <c r="A63" t="s">
        <v>79</v>
      </c>
      <c r="B63" t="s">
        <v>6</v>
      </c>
      <c r="C63" t="s">
        <v>31</v>
      </c>
      <c r="D63" s="2">
        <v>46258</v>
      </c>
      <c r="E63">
        <v>180</v>
      </c>
      <c r="F63" s="3">
        <f t="shared" si="2"/>
        <v>46438</v>
      </c>
      <c r="G63" s="3">
        <f>F63-Calc!$B$3</f>
        <v>134</v>
      </c>
      <c r="H63" s="1" t="str">
        <f t="shared" si="3"/>
        <v>OK</v>
      </c>
      <c r="I63" s="1">
        <f>IF(G63&lt;0,-1,MIN(11,(YEAR(F63)-YEAR(Calc!$B$3))*12+MONTH(F63)-MONTH(Calc!$B$3)))</f>
        <v>4</v>
      </c>
    </row>
    <row r="64" spans="1:9" ht="14.5" x14ac:dyDescent="0.35">
      <c r="A64" t="s">
        <v>80</v>
      </c>
      <c r="B64" t="s">
        <v>14</v>
      </c>
      <c r="C64" t="s">
        <v>15</v>
      </c>
      <c r="D64" s="2">
        <v>45944</v>
      </c>
      <c r="E64">
        <v>365</v>
      </c>
      <c r="F64" s="3">
        <f t="shared" si="2"/>
        <v>46309</v>
      </c>
      <c r="G64" s="3">
        <f>F64-Calc!$B$3</f>
        <v>5</v>
      </c>
      <c r="H64" s="1" t="str">
        <f t="shared" si="3"/>
        <v>Due 30d</v>
      </c>
      <c r="I64" s="1">
        <f>IF(G64&lt;0,-1,MIN(11,(YEAR(F64)-YEAR(Calc!$B$3))*12+MONTH(F64)-MONTH(Calc!$B$3)))</f>
        <v>0</v>
      </c>
    </row>
    <row r="65" spans="1:9" ht="14.5" x14ac:dyDescent="0.35">
      <c r="A65" t="s">
        <v>81</v>
      </c>
      <c r="B65" t="s">
        <v>14</v>
      </c>
      <c r="C65" t="s">
        <v>20</v>
      </c>
      <c r="D65" s="2">
        <v>46018</v>
      </c>
      <c r="E65">
        <v>365</v>
      </c>
      <c r="F65" s="3">
        <f t="shared" si="2"/>
        <v>46383</v>
      </c>
      <c r="G65" s="3">
        <f>F65-Calc!$B$3</f>
        <v>79</v>
      </c>
      <c r="H65" s="1" t="str">
        <f t="shared" si="3"/>
        <v>OK</v>
      </c>
      <c r="I65" s="1">
        <f>IF(G65&lt;0,-1,MIN(11,(YEAR(F65)-YEAR(Calc!$B$3))*12+MONTH(F65)-MONTH(Calc!$B$3)))</f>
        <v>2</v>
      </c>
    </row>
    <row r="66" spans="1:9" ht="14.5" x14ac:dyDescent="0.35">
      <c r="A66" t="s">
        <v>82</v>
      </c>
      <c r="B66" t="s">
        <v>6</v>
      </c>
      <c r="C66" t="s">
        <v>7</v>
      </c>
      <c r="D66" s="2">
        <v>45976</v>
      </c>
      <c r="E66">
        <v>365</v>
      </c>
      <c r="F66" s="3">
        <f t="shared" ref="F66:F97" si="4">D66+E66</f>
        <v>46341</v>
      </c>
      <c r="G66" s="3">
        <f>F66-Calc!$B$3</f>
        <v>37</v>
      </c>
      <c r="H66" s="1" t="str">
        <f t="shared" ref="H66:H97" si="5">IF(G66&lt;0,"Overdue",IF(G66&lt;=30,"Due 30d","OK"))</f>
        <v>OK</v>
      </c>
      <c r="I66" s="1">
        <f>IF(G66&lt;0,-1,MIN(11,(YEAR(F66)-YEAR(Calc!$B$3))*12+MONTH(F66)-MONTH(Calc!$B$3)))</f>
        <v>1</v>
      </c>
    </row>
    <row r="67" spans="1:9" ht="14.5" x14ac:dyDescent="0.35">
      <c r="A67" t="s">
        <v>83</v>
      </c>
      <c r="B67" t="s">
        <v>6</v>
      </c>
      <c r="C67" t="s">
        <v>31</v>
      </c>
      <c r="D67" s="2">
        <v>46192</v>
      </c>
      <c r="E67">
        <v>180</v>
      </c>
      <c r="F67" s="3">
        <f t="shared" si="4"/>
        <v>46372</v>
      </c>
      <c r="G67" s="3">
        <f>F67-Calc!$B$3</f>
        <v>68</v>
      </c>
      <c r="H67" s="1" t="str">
        <f t="shared" si="5"/>
        <v>OK</v>
      </c>
      <c r="I67" s="1">
        <f>IF(G67&lt;0,-1,MIN(11,(YEAR(F67)-YEAR(Calc!$B$3))*12+MONTH(F67)-MONTH(Calc!$B$3)))</f>
        <v>2</v>
      </c>
    </row>
    <row r="68" spans="1:9" ht="14.5" x14ac:dyDescent="0.35">
      <c r="A68" t="s">
        <v>84</v>
      </c>
      <c r="B68" t="s">
        <v>6</v>
      </c>
      <c r="C68" t="s">
        <v>27</v>
      </c>
      <c r="D68" s="2">
        <v>46269</v>
      </c>
      <c r="E68">
        <v>90</v>
      </c>
      <c r="F68" s="3">
        <f t="shared" si="4"/>
        <v>46359</v>
      </c>
      <c r="G68" s="3">
        <f>F68-Calc!$B$3</f>
        <v>55</v>
      </c>
      <c r="H68" s="1" t="str">
        <f t="shared" si="5"/>
        <v>OK</v>
      </c>
      <c r="I68" s="1">
        <f>IF(G68&lt;0,-1,MIN(11,(YEAR(F68)-YEAR(Calc!$B$3))*12+MONTH(F68)-MONTH(Calc!$B$3)))</f>
        <v>2</v>
      </c>
    </row>
    <row r="69" spans="1:9" ht="14.5" x14ac:dyDescent="0.35">
      <c r="A69" t="s">
        <v>85</v>
      </c>
      <c r="B69" t="s">
        <v>14</v>
      </c>
      <c r="C69" t="s">
        <v>10</v>
      </c>
      <c r="D69" s="2">
        <v>46182</v>
      </c>
      <c r="E69">
        <v>180</v>
      </c>
      <c r="F69" s="3">
        <f t="shared" si="4"/>
        <v>46362</v>
      </c>
      <c r="G69" s="3">
        <f>F69-Calc!$B$3</f>
        <v>58</v>
      </c>
      <c r="H69" s="1" t="str">
        <f t="shared" si="5"/>
        <v>OK</v>
      </c>
      <c r="I69" s="1">
        <f>IF(G69&lt;0,-1,MIN(11,(YEAR(F69)-YEAR(Calc!$B$3))*12+MONTH(F69)-MONTH(Calc!$B$3)))</f>
        <v>2</v>
      </c>
    </row>
    <row r="70" spans="1:9" ht="14.5" x14ac:dyDescent="0.35">
      <c r="A70" t="s">
        <v>86</v>
      </c>
      <c r="B70" t="s">
        <v>14</v>
      </c>
      <c r="C70" t="s">
        <v>27</v>
      </c>
      <c r="D70" s="2">
        <v>46279</v>
      </c>
      <c r="E70">
        <v>90</v>
      </c>
      <c r="F70" s="3">
        <f t="shared" si="4"/>
        <v>46369</v>
      </c>
      <c r="G70" s="3">
        <f>F70-Calc!$B$3</f>
        <v>65</v>
      </c>
      <c r="H70" s="1" t="str">
        <f t="shared" si="5"/>
        <v>OK</v>
      </c>
      <c r="I70" s="1">
        <f>IF(G70&lt;0,-1,MIN(11,(YEAR(F70)-YEAR(Calc!$B$3))*12+MONTH(F70)-MONTH(Calc!$B$3)))</f>
        <v>2</v>
      </c>
    </row>
    <row r="71" spans="1:9" ht="14.5" x14ac:dyDescent="0.35">
      <c r="A71" t="s">
        <v>87</v>
      </c>
      <c r="B71" t="s">
        <v>19</v>
      </c>
      <c r="C71" t="s">
        <v>20</v>
      </c>
      <c r="D71" s="2">
        <v>46249</v>
      </c>
      <c r="E71">
        <v>365</v>
      </c>
      <c r="F71" s="3">
        <f t="shared" si="4"/>
        <v>46614</v>
      </c>
      <c r="G71" s="3">
        <f>F71-Calc!$B$3</f>
        <v>310</v>
      </c>
      <c r="H71" s="1" t="str">
        <f t="shared" si="5"/>
        <v>OK</v>
      </c>
      <c r="I71" s="1">
        <f>IF(G71&lt;0,-1,MIN(11,(YEAR(F71)-YEAR(Calc!$B$3))*12+MONTH(F71)-MONTH(Calc!$B$3)))</f>
        <v>10</v>
      </c>
    </row>
    <row r="72" spans="1:9" ht="14.5" x14ac:dyDescent="0.35">
      <c r="A72" t="s">
        <v>88</v>
      </c>
      <c r="B72" t="s">
        <v>6</v>
      </c>
      <c r="C72" t="s">
        <v>7</v>
      </c>
      <c r="D72" s="2">
        <v>46115</v>
      </c>
      <c r="E72">
        <v>365</v>
      </c>
      <c r="F72" s="3">
        <f t="shared" si="4"/>
        <v>46480</v>
      </c>
      <c r="G72" s="3">
        <f>F72-Calc!$B$3</f>
        <v>176</v>
      </c>
      <c r="H72" s="1" t="str">
        <f t="shared" si="5"/>
        <v>OK</v>
      </c>
      <c r="I72" s="1">
        <f>IF(G72&lt;0,-1,MIN(11,(YEAR(F72)-YEAR(Calc!$B$3))*12+MONTH(F72)-MONTH(Calc!$B$3)))</f>
        <v>6</v>
      </c>
    </row>
    <row r="73" spans="1:9" ht="14.5" x14ac:dyDescent="0.35">
      <c r="A73" t="s">
        <v>89</v>
      </c>
      <c r="B73" t="s">
        <v>6</v>
      </c>
      <c r="C73" t="s">
        <v>34</v>
      </c>
      <c r="D73" s="2">
        <v>46144</v>
      </c>
      <c r="E73">
        <v>180</v>
      </c>
      <c r="F73" s="3">
        <f t="shared" si="4"/>
        <v>46324</v>
      </c>
      <c r="G73" s="3">
        <f>F73-Calc!$B$3</f>
        <v>20</v>
      </c>
      <c r="H73" s="1" t="str">
        <f t="shared" si="5"/>
        <v>Due 30d</v>
      </c>
      <c r="I73" s="1">
        <f>IF(G73&lt;0,-1,MIN(11,(YEAR(F73)-YEAR(Calc!$B$3))*12+MONTH(F73)-MONTH(Calc!$B$3)))</f>
        <v>0</v>
      </c>
    </row>
    <row r="74" spans="1:9" ht="14.5" x14ac:dyDescent="0.35">
      <c r="A74" t="s">
        <v>90</v>
      </c>
      <c r="B74" t="s">
        <v>9</v>
      </c>
      <c r="C74" t="s">
        <v>17</v>
      </c>
      <c r="D74" s="2">
        <v>46287</v>
      </c>
      <c r="E74">
        <v>90</v>
      </c>
      <c r="F74" s="3">
        <f t="shared" si="4"/>
        <v>46377</v>
      </c>
      <c r="G74" s="3">
        <f>F74-Calc!$B$3</f>
        <v>73</v>
      </c>
      <c r="H74" s="1" t="str">
        <f t="shared" si="5"/>
        <v>OK</v>
      </c>
      <c r="I74" s="1">
        <f>IF(G74&lt;0,-1,MIN(11,(YEAR(F74)-YEAR(Calc!$B$3))*12+MONTH(F74)-MONTH(Calc!$B$3)))</f>
        <v>2</v>
      </c>
    </row>
    <row r="75" spans="1:9" ht="14.5" x14ac:dyDescent="0.35">
      <c r="A75" t="s">
        <v>91</v>
      </c>
      <c r="B75" t="s">
        <v>14</v>
      </c>
      <c r="C75" t="s">
        <v>20</v>
      </c>
      <c r="D75" s="2">
        <v>45937</v>
      </c>
      <c r="E75">
        <v>365</v>
      </c>
      <c r="F75" s="3">
        <f t="shared" si="4"/>
        <v>46302</v>
      </c>
      <c r="G75" s="3">
        <f>F75-Calc!$B$3</f>
        <v>-2</v>
      </c>
      <c r="H75" s="1" t="str">
        <f t="shared" si="5"/>
        <v>Overdue</v>
      </c>
      <c r="I75" s="1">
        <f>IF(G75&lt;0,-1,MIN(11,(YEAR(F75)-YEAR(Calc!$B$3))*12+MONTH(F75)-MONTH(Calc!$B$3)))</f>
        <v>-1</v>
      </c>
    </row>
    <row r="76" spans="1:9" ht="14.5" x14ac:dyDescent="0.35">
      <c r="A76" t="s">
        <v>92</v>
      </c>
      <c r="B76" t="s">
        <v>14</v>
      </c>
      <c r="C76" t="s">
        <v>10</v>
      </c>
      <c r="D76" s="2">
        <v>46247</v>
      </c>
      <c r="E76">
        <v>180</v>
      </c>
      <c r="F76" s="3">
        <f t="shared" si="4"/>
        <v>46427</v>
      </c>
      <c r="G76" s="3">
        <f>F76-Calc!$B$3</f>
        <v>123</v>
      </c>
      <c r="H76" s="1" t="str">
        <f t="shared" si="5"/>
        <v>OK</v>
      </c>
      <c r="I76" s="1">
        <f>IF(G76&lt;0,-1,MIN(11,(YEAR(F76)-YEAR(Calc!$B$3))*12+MONTH(F76)-MONTH(Calc!$B$3)))</f>
        <v>4</v>
      </c>
    </row>
    <row r="77" spans="1:9" ht="14.5" x14ac:dyDescent="0.35">
      <c r="A77" t="s">
        <v>93</v>
      </c>
      <c r="B77" t="s">
        <v>47</v>
      </c>
      <c r="C77" t="s">
        <v>15</v>
      </c>
      <c r="D77" s="2">
        <v>45968</v>
      </c>
      <c r="E77">
        <v>365</v>
      </c>
      <c r="F77" s="3">
        <f t="shared" si="4"/>
        <v>46333</v>
      </c>
      <c r="G77" s="3">
        <f>F77-Calc!$B$3</f>
        <v>29</v>
      </c>
      <c r="H77" s="1" t="str">
        <f t="shared" si="5"/>
        <v>Due 30d</v>
      </c>
      <c r="I77" s="1">
        <f>IF(G77&lt;0,-1,MIN(11,(YEAR(F77)-YEAR(Calc!$B$3))*12+MONTH(F77)-MONTH(Calc!$B$3)))</f>
        <v>1</v>
      </c>
    </row>
    <row r="78" spans="1:9" ht="14.5" x14ac:dyDescent="0.35">
      <c r="A78" t="s">
        <v>94</v>
      </c>
      <c r="B78" t="s">
        <v>9</v>
      </c>
      <c r="C78" t="s">
        <v>34</v>
      </c>
      <c r="D78" s="2">
        <v>46172</v>
      </c>
      <c r="E78">
        <v>180</v>
      </c>
      <c r="F78" s="3">
        <f t="shared" si="4"/>
        <v>46352</v>
      </c>
      <c r="G78" s="3">
        <f>F78-Calc!$B$3</f>
        <v>48</v>
      </c>
      <c r="H78" s="1" t="str">
        <f t="shared" si="5"/>
        <v>OK</v>
      </c>
      <c r="I78" s="1">
        <f>IF(G78&lt;0,-1,MIN(11,(YEAR(F78)-YEAR(Calc!$B$3))*12+MONTH(F78)-MONTH(Calc!$B$3)))</f>
        <v>1</v>
      </c>
    </row>
    <row r="79" spans="1:9" ht="14.5" x14ac:dyDescent="0.35">
      <c r="A79" t="s">
        <v>95</v>
      </c>
      <c r="B79" t="s">
        <v>14</v>
      </c>
      <c r="C79" t="s">
        <v>27</v>
      </c>
      <c r="D79" s="2">
        <v>46237</v>
      </c>
      <c r="E79">
        <v>90</v>
      </c>
      <c r="F79" s="3">
        <f t="shared" si="4"/>
        <v>46327</v>
      </c>
      <c r="G79" s="3">
        <f>F79-Calc!$B$3</f>
        <v>23</v>
      </c>
      <c r="H79" s="1" t="str">
        <f t="shared" si="5"/>
        <v>Due 30d</v>
      </c>
      <c r="I79" s="1">
        <f>IF(G79&lt;0,-1,MIN(11,(YEAR(F79)-YEAR(Calc!$B$3))*12+MONTH(F79)-MONTH(Calc!$B$3)))</f>
        <v>1</v>
      </c>
    </row>
    <row r="80" spans="1:9" ht="14.5" x14ac:dyDescent="0.35">
      <c r="A80" t="s">
        <v>96</v>
      </c>
      <c r="B80" t="s">
        <v>6</v>
      </c>
      <c r="C80" t="s">
        <v>7</v>
      </c>
      <c r="D80" s="2">
        <v>46241</v>
      </c>
      <c r="E80">
        <v>365</v>
      </c>
      <c r="F80" s="3">
        <f t="shared" si="4"/>
        <v>46606</v>
      </c>
      <c r="G80" s="3">
        <f>F80-Calc!$B$3</f>
        <v>302</v>
      </c>
      <c r="H80" s="1" t="str">
        <f t="shared" si="5"/>
        <v>OK</v>
      </c>
      <c r="I80" s="1">
        <f>IF(G80&lt;0,-1,MIN(11,(YEAR(F80)-YEAR(Calc!$B$3))*12+MONTH(F80)-MONTH(Calc!$B$3)))</f>
        <v>10</v>
      </c>
    </row>
    <row r="81" spans="1:9" ht="14.5" x14ac:dyDescent="0.35">
      <c r="A81" t="s">
        <v>97</v>
      </c>
      <c r="B81" t="s">
        <v>6</v>
      </c>
      <c r="C81" t="s">
        <v>7</v>
      </c>
      <c r="D81" s="2">
        <v>45957</v>
      </c>
      <c r="E81">
        <v>365</v>
      </c>
      <c r="F81" s="3">
        <f t="shared" si="4"/>
        <v>46322</v>
      </c>
      <c r="G81" s="3">
        <f>F81-Calc!$B$3</f>
        <v>18</v>
      </c>
      <c r="H81" s="1" t="str">
        <f t="shared" si="5"/>
        <v>Due 30d</v>
      </c>
      <c r="I81" s="1">
        <f>IF(G81&lt;0,-1,MIN(11,(YEAR(F81)-YEAR(Calc!$B$3))*12+MONTH(F81)-MONTH(Calc!$B$3)))</f>
        <v>0</v>
      </c>
    </row>
    <row r="82" spans="1:9" ht="14.5" x14ac:dyDescent="0.35">
      <c r="A82" t="s">
        <v>98</v>
      </c>
      <c r="B82" t="s">
        <v>6</v>
      </c>
      <c r="C82" t="s">
        <v>17</v>
      </c>
      <c r="D82" s="2">
        <v>46228</v>
      </c>
      <c r="E82">
        <v>90</v>
      </c>
      <c r="F82" s="3">
        <f t="shared" si="4"/>
        <v>46318</v>
      </c>
      <c r="G82" s="3">
        <f>F82-Calc!$B$3</f>
        <v>14</v>
      </c>
      <c r="H82" s="1" t="str">
        <f t="shared" si="5"/>
        <v>Due 30d</v>
      </c>
      <c r="I82" s="1">
        <f>IF(G82&lt;0,-1,MIN(11,(YEAR(F82)-YEAR(Calc!$B$3))*12+MONTH(F82)-MONTH(Calc!$B$3)))</f>
        <v>0</v>
      </c>
    </row>
    <row r="83" spans="1:9" ht="14.5" x14ac:dyDescent="0.35">
      <c r="A83" t="s">
        <v>99</v>
      </c>
      <c r="B83" t="s">
        <v>6</v>
      </c>
      <c r="C83" t="s">
        <v>34</v>
      </c>
      <c r="D83" s="2">
        <v>46167</v>
      </c>
      <c r="E83">
        <v>180</v>
      </c>
      <c r="F83" s="3">
        <f t="shared" si="4"/>
        <v>46347</v>
      </c>
      <c r="G83" s="3">
        <f>F83-Calc!$B$3</f>
        <v>43</v>
      </c>
      <c r="H83" s="1" t="str">
        <f t="shared" si="5"/>
        <v>OK</v>
      </c>
      <c r="I83" s="1">
        <f>IF(G83&lt;0,-1,MIN(11,(YEAR(F83)-YEAR(Calc!$B$3))*12+MONTH(F83)-MONTH(Calc!$B$3)))</f>
        <v>1</v>
      </c>
    </row>
    <row r="84" spans="1:9" ht="14.5" x14ac:dyDescent="0.35">
      <c r="A84" t="s">
        <v>100</v>
      </c>
      <c r="B84" t="s">
        <v>6</v>
      </c>
      <c r="C84" t="s">
        <v>17</v>
      </c>
      <c r="D84" s="2">
        <v>46287</v>
      </c>
      <c r="E84">
        <v>90</v>
      </c>
      <c r="F84" s="3">
        <f t="shared" si="4"/>
        <v>46377</v>
      </c>
      <c r="G84" s="3">
        <f>F84-Calc!$B$3</f>
        <v>73</v>
      </c>
      <c r="H84" s="1" t="str">
        <f t="shared" si="5"/>
        <v>OK</v>
      </c>
      <c r="I84" s="1">
        <f>IF(G84&lt;0,-1,MIN(11,(YEAR(F84)-YEAR(Calc!$B$3))*12+MONTH(F84)-MONTH(Calc!$B$3)))</f>
        <v>2</v>
      </c>
    </row>
    <row r="85" spans="1:9" ht="14.5" x14ac:dyDescent="0.35">
      <c r="A85" t="s">
        <v>101</v>
      </c>
      <c r="B85" t="s">
        <v>6</v>
      </c>
      <c r="C85" t="s">
        <v>27</v>
      </c>
      <c r="D85" s="2">
        <v>46284</v>
      </c>
      <c r="E85">
        <v>90</v>
      </c>
      <c r="F85" s="3">
        <f t="shared" si="4"/>
        <v>46374</v>
      </c>
      <c r="G85" s="3">
        <f>F85-Calc!$B$3</f>
        <v>70</v>
      </c>
      <c r="H85" s="1" t="str">
        <f t="shared" si="5"/>
        <v>OK</v>
      </c>
      <c r="I85" s="1">
        <f>IF(G85&lt;0,-1,MIN(11,(YEAR(F85)-YEAR(Calc!$B$3))*12+MONTH(F85)-MONTH(Calc!$B$3)))</f>
        <v>2</v>
      </c>
    </row>
    <row r="86" spans="1:9" ht="14.5" x14ac:dyDescent="0.35">
      <c r="A86" t="s">
        <v>102</v>
      </c>
      <c r="B86" t="s">
        <v>19</v>
      </c>
      <c r="C86" t="s">
        <v>20</v>
      </c>
      <c r="D86" s="2">
        <v>46014</v>
      </c>
      <c r="E86">
        <v>365</v>
      </c>
      <c r="F86" s="3">
        <f t="shared" si="4"/>
        <v>46379</v>
      </c>
      <c r="G86" s="3">
        <f>F86-Calc!$B$3</f>
        <v>75</v>
      </c>
      <c r="H86" s="1" t="str">
        <f t="shared" si="5"/>
        <v>OK</v>
      </c>
      <c r="I86" s="1">
        <f>IF(G86&lt;0,-1,MIN(11,(YEAR(F86)-YEAR(Calc!$B$3))*12+MONTH(F86)-MONTH(Calc!$B$3)))</f>
        <v>2</v>
      </c>
    </row>
    <row r="87" spans="1:9" ht="14.5" x14ac:dyDescent="0.35">
      <c r="A87" t="s">
        <v>103</v>
      </c>
      <c r="B87" t="s">
        <v>6</v>
      </c>
      <c r="C87" t="s">
        <v>31</v>
      </c>
      <c r="D87" s="2">
        <v>46215</v>
      </c>
      <c r="E87">
        <v>180</v>
      </c>
      <c r="F87" s="3">
        <f t="shared" si="4"/>
        <v>46395</v>
      </c>
      <c r="G87" s="3">
        <f>F87-Calc!$B$3</f>
        <v>91</v>
      </c>
      <c r="H87" s="1" t="str">
        <f t="shared" si="5"/>
        <v>OK</v>
      </c>
      <c r="I87" s="1">
        <f>IF(G87&lt;0,-1,MIN(11,(YEAR(F87)-YEAR(Calc!$B$3))*12+MONTH(F87)-MONTH(Calc!$B$3)))</f>
        <v>3</v>
      </c>
    </row>
    <row r="88" spans="1:9" ht="14.5" x14ac:dyDescent="0.35">
      <c r="A88" t="s">
        <v>104</v>
      </c>
      <c r="B88" t="s">
        <v>14</v>
      </c>
      <c r="C88" t="s">
        <v>20</v>
      </c>
      <c r="D88" s="2">
        <v>46014</v>
      </c>
      <c r="E88">
        <v>365</v>
      </c>
      <c r="F88" s="3">
        <f t="shared" si="4"/>
        <v>46379</v>
      </c>
      <c r="G88" s="3">
        <f>F88-Calc!$B$3</f>
        <v>75</v>
      </c>
      <c r="H88" s="1" t="str">
        <f t="shared" si="5"/>
        <v>OK</v>
      </c>
      <c r="I88" s="1">
        <f>IF(G88&lt;0,-1,MIN(11,(YEAR(F88)-YEAR(Calc!$B$3))*12+MONTH(F88)-MONTH(Calc!$B$3)))</f>
        <v>2</v>
      </c>
    </row>
    <row r="89" spans="1:9" ht="14.5" x14ac:dyDescent="0.35">
      <c r="A89" t="s">
        <v>105</v>
      </c>
      <c r="B89" t="s">
        <v>14</v>
      </c>
      <c r="C89" t="s">
        <v>27</v>
      </c>
      <c r="D89" s="2">
        <v>46211</v>
      </c>
      <c r="E89">
        <v>90</v>
      </c>
      <c r="F89" s="3">
        <f t="shared" si="4"/>
        <v>46301</v>
      </c>
      <c r="G89" s="3">
        <f>F89-Calc!$B$3</f>
        <v>-3</v>
      </c>
      <c r="H89" s="1" t="str">
        <f t="shared" si="5"/>
        <v>Overdue</v>
      </c>
      <c r="I89" s="1">
        <f>IF(G89&lt;0,-1,MIN(11,(YEAR(F89)-YEAR(Calc!$B$3))*12+MONTH(F89)-MONTH(Calc!$B$3)))</f>
        <v>-1</v>
      </c>
    </row>
    <row r="90" spans="1:9" ht="14.5" x14ac:dyDescent="0.35">
      <c r="A90" t="s">
        <v>106</v>
      </c>
      <c r="B90" t="s">
        <v>6</v>
      </c>
      <c r="C90" t="s">
        <v>31</v>
      </c>
      <c r="D90" s="2">
        <v>46248</v>
      </c>
      <c r="E90">
        <v>180</v>
      </c>
      <c r="F90" s="3">
        <f t="shared" si="4"/>
        <v>46428</v>
      </c>
      <c r="G90" s="3">
        <f>F90-Calc!$B$3</f>
        <v>124</v>
      </c>
      <c r="H90" s="1" t="str">
        <f t="shared" si="5"/>
        <v>OK</v>
      </c>
      <c r="I90" s="1">
        <f>IF(G90&lt;0,-1,MIN(11,(YEAR(F90)-YEAR(Calc!$B$3))*12+MONTH(F90)-MONTH(Calc!$B$3)))</f>
        <v>4</v>
      </c>
    </row>
    <row r="91" spans="1:9" ht="14.5" x14ac:dyDescent="0.35">
      <c r="A91" t="s">
        <v>107</v>
      </c>
      <c r="B91" t="s">
        <v>6</v>
      </c>
      <c r="C91" t="s">
        <v>7</v>
      </c>
      <c r="D91" s="2">
        <v>46111</v>
      </c>
      <c r="E91">
        <v>365</v>
      </c>
      <c r="F91" s="3">
        <f t="shared" si="4"/>
        <v>46476</v>
      </c>
      <c r="G91" s="3">
        <f>F91-Calc!$B$3</f>
        <v>172</v>
      </c>
      <c r="H91" s="1" t="str">
        <f t="shared" si="5"/>
        <v>OK</v>
      </c>
      <c r="I91" s="1">
        <f>IF(G91&lt;0,-1,MIN(11,(YEAR(F91)-YEAR(Calc!$B$3))*12+MONTH(F91)-MONTH(Calc!$B$3)))</f>
        <v>5</v>
      </c>
    </row>
    <row r="92" spans="1:9" ht="14.5" x14ac:dyDescent="0.35">
      <c r="A92" t="s">
        <v>108</v>
      </c>
      <c r="B92" t="s">
        <v>6</v>
      </c>
      <c r="C92" t="s">
        <v>34</v>
      </c>
      <c r="D92" s="2">
        <v>46220</v>
      </c>
      <c r="E92">
        <v>180</v>
      </c>
      <c r="F92" s="3">
        <f t="shared" si="4"/>
        <v>46400</v>
      </c>
      <c r="G92" s="3">
        <f>F92-Calc!$B$3</f>
        <v>96</v>
      </c>
      <c r="H92" s="1" t="str">
        <f t="shared" si="5"/>
        <v>OK</v>
      </c>
      <c r="I92" s="1">
        <f>IF(G92&lt;0,-1,MIN(11,(YEAR(F92)-YEAR(Calc!$B$3))*12+MONTH(F92)-MONTH(Calc!$B$3)))</f>
        <v>3</v>
      </c>
    </row>
    <row r="93" spans="1:9" ht="14.5" x14ac:dyDescent="0.35">
      <c r="A93" t="s">
        <v>109</v>
      </c>
      <c r="B93" t="s">
        <v>6</v>
      </c>
      <c r="C93" t="s">
        <v>17</v>
      </c>
      <c r="D93" s="2">
        <v>46269</v>
      </c>
      <c r="E93">
        <v>90</v>
      </c>
      <c r="F93" s="3">
        <f t="shared" si="4"/>
        <v>46359</v>
      </c>
      <c r="G93" s="3">
        <f>F93-Calc!$B$3</f>
        <v>55</v>
      </c>
      <c r="H93" s="1" t="str">
        <f t="shared" si="5"/>
        <v>OK</v>
      </c>
      <c r="I93" s="1">
        <f>IF(G93&lt;0,-1,MIN(11,(YEAR(F93)-YEAR(Calc!$B$3))*12+MONTH(F93)-MONTH(Calc!$B$3)))</f>
        <v>2</v>
      </c>
    </row>
    <row r="94" spans="1:9" ht="14.5" x14ac:dyDescent="0.35">
      <c r="A94" t="s">
        <v>110</v>
      </c>
      <c r="B94" t="s">
        <v>9</v>
      </c>
      <c r="C94" t="s">
        <v>27</v>
      </c>
      <c r="D94" s="2">
        <v>46283</v>
      </c>
      <c r="E94">
        <v>90</v>
      </c>
      <c r="F94" s="3">
        <f t="shared" si="4"/>
        <v>46373</v>
      </c>
      <c r="G94" s="3">
        <f>F94-Calc!$B$3</f>
        <v>69</v>
      </c>
      <c r="H94" s="1" t="str">
        <f t="shared" si="5"/>
        <v>OK</v>
      </c>
      <c r="I94" s="1">
        <f>IF(G94&lt;0,-1,MIN(11,(YEAR(F94)-YEAR(Calc!$B$3))*12+MONTH(F94)-MONTH(Calc!$B$3)))</f>
        <v>2</v>
      </c>
    </row>
    <row r="95" spans="1:9" ht="14.5" x14ac:dyDescent="0.35">
      <c r="A95" t="s">
        <v>111</v>
      </c>
      <c r="B95" t="s">
        <v>14</v>
      </c>
      <c r="C95" t="s">
        <v>20</v>
      </c>
      <c r="D95" s="2">
        <v>46019</v>
      </c>
      <c r="E95">
        <v>365</v>
      </c>
      <c r="F95" s="3">
        <f t="shared" si="4"/>
        <v>46384</v>
      </c>
      <c r="G95" s="3">
        <f>F95-Calc!$B$3</f>
        <v>80</v>
      </c>
      <c r="H95" s="1" t="str">
        <f t="shared" si="5"/>
        <v>OK</v>
      </c>
      <c r="I95" s="1">
        <f>IF(G95&lt;0,-1,MIN(11,(YEAR(F95)-YEAR(Calc!$B$3))*12+MONTH(F95)-MONTH(Calc!$B$3)))</f>
        <v>2</v>
      </c>
    </row>
    <row r="96" spans="1:9" ht="14.5" x14ac:dyDescent="0.35">
      <c r="A96" t="s">
        <v>112</v>
      </c>
      <c r="B96" t="s">
        <v>9</v>
      </c>
      <c r="C96" t="s">
        <v>34</v>
      </c>
      <c r="D96" s="2">
        <v>46198</v>
      </c>
      <c r="E96">
        <v>180</v>
      </c>
      <c r="F96" s="3">
        <f t="shared" si="4"/>
        <v>46378</v>
      </c>
      <c r="G96" s="3">
        <f>F96-Calc!$B$3</f>
        <v>74</v>
      </c>
      <c r="H96" s="1" t="str">
        <f t="shared" si="5"/>
        <v>OK</v>
      </c>
      <c r="I96" s="1">
        <f>IF(G96&lt;0,-1,MIN(11,(YEAR(F96)-YEAR(Calc!$B$3))*12+MONTH(F96)-MONTH(Calc!$B$3)))</f>
        <v>2</v>
      </c>
    </row>
    <row r="97" spans="1:9" ht="14.5" x14ac:dyDescent="0.35">
      <c r="A97" t="s">
        <v>113</v>
      </c>
      <c r="B97" t="s">
        <v>14</v>
      </c>
      <c r="C97" t="s">
        <v>10</v>
      </c>
      <c r="D97" s="2">
        <v>46138</v>
      </c>
      <c r="E97">
        <v>180</v>
      </c>
      <c r="F97" s="3">
        <f t="shared" si="4"/>
        <v>46318</v>
      </c>
      <c r="G97" s="3">
        <f>F97-Calc!$B$3</f>
        <v>14</v>
      </c>
      <c r="H97" s="1" t="str">
        <f t="shared" si="5"/>
        <v>Due 30d</v>
      </c>
      <c r="I97" s="1">
        <f>IF(G97&lt;0,-1,MIN(11,(YEAR(F97)-YEAR(Calc!$B$3))*12+MONTH(F97)-MONTH(Calc!$B$3)))</f>
        <v>0</v>
      </c>
    </row>
    <row r="98" spans="1:9" ht="14.5" x14ac:dyDescent="0.35">
      <c r="A98" t="s">
        <v>114</v>
      </c>
      <c r="B98" t="s">
        <v>9</v>
      </c>
      <c r="C98" t="s">
        <v>34</v>
      </c>
      <c r="D98" s="2">
        <v>46131</v>
      </c>
      <c r="E98">
        <v>180</v>
      </c>
      <c r="F98" s="3">
        <f t="shared" ref="F98:F129" si="6">D98+E98</f>
        <v>46311</v>
      </c>
      <c r="G98" s="3">
        <f>F98-Calc!$B$3</f>
        <v>7</v>
      </c>
      <c r="H98" s="1" t="str">
        <f t="shared" ref="H98:H129" si="7">IF(G98&lt;0,"Overdue",IF(G98&lt;=30,"Due 30d","OK"))</f>
        <v>Due 30d</v>
      </c>
      <c r="I98" s="1">
        <f>IF(G98&lt;0,-1,MIN(11,(YEAR(F98)-YEAR(Calc!$B$3))*12+MONTH(F98)-MONTH(Calc!$B$3)))</f>
        <v>0</v>
      </c>
    </row>
    <row r="99" spans="1:9" ht="14.5" x14ac:dyDescent="0.35">
      <c r="A99" t="s">
        <v>115</v>
      </c>
      <c r="B99" t="s">
        <v>9</v>
      </c>
      <c r="C99" t="s">
        <v>10</v>
      </c>
      <c r="D99" s="2">
        <v>46153</v>
      </c>
      <c r="E99">
        <v>180</v>
      </c>
      <c r="F99" s="3">
        <f t="shared" si="6"/>
        <v>46333</v>
      </c>
      <c r="G99" s="3">
        <f>F99-Calc!$B$3</f>
        <v>29</v>
      </c>
      <c r="H99" s="1" t="str">
        <f t="shared" si="7"/>
        <v>Due 30d</v>
      </c>
      <c r="I99" s="1">
        <f>IF(G99&lt;0,-1,MIN(11,(YEAR(F99)-YEAR(Calc!$B$3))*12+MONTH(F99)-MONTH(Calc!$B$3)))</f>
        <v>1</v>
      </c>
    </row>
    <row r="100" spans="1:9" ht="14.5" x14ac:dyDescent="0.35">
      <c r="A100" t="s">
        <v>116</v>
      </c>
      <c r="B100" t="s">
        <v>6</v>
      </c>
      <c r="C100" t="s">
        <v>31</v>
      </c>
      <c r="D100" s="2">
        <v>46202</v>
      </c>
      <c r="E100">
        <v>180</v>
      </c>
      <c r="F100" s="3">
        <f t="shared" si="6"/>
        <v>46382</v>
      </c>
      <c r="G100" s="3">
        <f>F100-Calc!$B$3</f>
        <v>78</v>
      </c>
      <c r="H100" s="1" t="str">
        <f t="shared" si="7"/>
        <v>OK</v>
      </c>
      <c r="I100" s="1">
        <f>IF(G100&lt;0,-1,MIN(11,(YEAR(F100)-YEAR(Calc!$B$3))*12+MONTH(F100)-MONTH(Calc!$B$3)))</f>
        <v>2</v>
      </c>
    </row>
    <row r="101" spans="1:9" ht="14.5" x14ac:dyDescent="0.35">
      <c r="A101" t="s">
        <v>117</v>
      </c>
      <c r="B101" t="s">
        <v>6</v>
      </c>
      <c r="C101" t="s">
        <v>7</v>
      </c>
      <c r="D101" s="2">
        <v>46069</v>
      </c>
      <c r="E101">
        <v>365</v>
      </c>
      <c r="F101" s="3">
        <f t="shared" si="6"/>
        <v>46434</v>
      </c>
      <c r="G101" s="3">
        <f>F101-Calc!$B$3</f>
        <v>130</v>
      </c>
      <c r="H101" s="1" t="str">
        <f t="shared" si="7"/>
        <v>OK</v>
      </c>
      <c r="I101" s="1">
        <f>IF(G101&lt;0,-1,MIN(11,(YEAR(F101)-YEAR(Calc!$B$3))*12+MONTH(F101)-MONTH(Calc!$B$3)))</f>
        <v>4</v>
      </c>
    </row>
    <row r="102" spans="1:9" ht="14.5" x14ac:dyDescent="0.35">
      <c r="A102" t="s">
        <v>118</v>
      </c>
      <c r="B102" t="s">
        <v>19</v>
      </c>
      <c r="C102" t="s">
        <v>15</v>
      </c>
      <c r="D102" s="2">
        <v>46219</v>
      </c>
      <c r="E102">
        <v>365</v>
      </c>
      <c r="F102" s="3">
        <f t="shared" si="6"/>
        <v>46584</v>
      </c>
      <c r="G102" s="3">
        <f>F102-Calc!$B$3</f>
        <v>280</v>
      </c>
      <c r="H102" s="1" t="str">
        <f t="shared" si="7"/>
        <v>OK</v>
      </c>
      <c r="I102" s="1">
        <f>IF(G102&lt;0,-1,MIN(11,(YEAR(F102)-YEAR(Calc!$B$3))*12+MONTH(F102)-MONTH(Calc!$B$3)))</f>
        <v>9</v>
      </c>
    </row>
    <row r="103" spans="1:9" ht="14.5" x14ac:dyDescent="0.35">
      <c r="A103" t="s">
        <v>119</v>
      </c>
      <c r="B103" t="s">
        <v>19</v>
      </c>
      <c r="C103" t="s">
        <v>15</v>
      </c>
      <c r="D103" s="2">
        <v>45997</v>
      </c>
      <c r="E103">
        <v>365</v>
      </c>
      <c r="F103" s="3">
        <f t="shared" si="6"/>
        <v>46362</v>
      </c>
      <c r="G103" s="3">
        <f>F103-Calc!$B$3</f>
        <v>58</v>
      </c>
      <c r="H103" s="1" t="str">
        <f t="shared" si="7"/>
        <v>OK</v>
      </c>
      <c r="I103" s="1">
        <f>IF(G103&lt;0,-1,MIN(11,(YEAR(F103)-YEAR(Calc!$B$3))*12+MONTH(F103)-MONTH(Calc!$B$3)))</f>
        <v>2</v>
      </c>
    </row>
    <row r="104" spans="1:9" ht="14.5" x14ac:dyDescent="0.35">
      <c r="A104" t="s">
        <v>120</v>
      </c>
      <c r="B104" t="s">
        <v>9</v>
      </c>
      <c r="C104" t="s">
        <v>10</v>
      </c>
      <c r="D104" s="2">
        <v>46217</v>
      </c>
      <c r="E104">
        <v>180</v>
      </c>
      <c r="F104" s="3">
        <f t="shared" si="6"/>
        <v>46397</v>
      </c>
      <c r="G104" s="3">
        <f>F104-Calc!$B$3</f>
        <v>93</v>
      </c>
      <c r="H104" s="1" t="str">
        <f t="shared" si="7"/>
        <v>OK</v>
      </c>
      <c r="I104" s="1">
        <f>IF(G104&lt;0,-1,MIN(11,(YEAR(F104)-YEAR(Calc!$B$3))*12+MONTH(F104)-MONTH(Calc!$B$3)))</f>
        <v>3</v>
      </c>
    </row>
    <row r="105" spans="1:9" ht="14.5" x14ac:dyDescent="0.35">
      <c r="A105" t="s">
        <v>121</v>
      </c>
      <c r="B105" t="s">
        <v>14</v>
      </c>
      <c r="C105" t="s">
        <v>20</v>
      </c>
      <c r="D105" s="2">
        <v>46182</v>
      </c>
      <c r="E105">
        <v>365</v>
      </c>
      <c r="F105" s="3">
        <f t="shared" si="6"/>
        <v>46547</v>
      </c>
      <c r="G105" s="3">
        <f>F105-Calc!$B$3</f>
        <v>243</v>
      </c>
      <c r="H105" s="1" t="str">
        <f t="shared" si="7"/>
        <v>OK</v>
      </c>
      <c r="I105" s="1">
        <f>IF(G105&lt;0,-1,MIN(11,(YEAR(F105)-YEAR(Calc!$B$3))*12+MONTH(F105)-MONTH(Calc!$B$3)))</f>
        <v>8</v>
      </c>
    </row>
    <row r="106" spans="1:9" ht="14.5" x14ac:dyDescent="0.35">
      <c r="A106" t="s">
        <v>122</v>
      </c>
      <c r="B106" t="s">
        <v>6</v>
      </c>
      <c r="C106" t="s">
        <v>31</v>
      </c>
      <c r="D106" s="2">
        <v>46275</v>
      </c>
      <c r="E106">
        <v>180</v>
      </c>
      <c r="F106" s="3">
        <f t="shared" si="6"/>
        <v>46455</v>
      </c>
      <c r="G106" s="3">
        <f>F106-Calc!$B$3</f>
        <v>151</v>
      </c>
      <c r="H106" s="1" t="str">
        <f t="shared" si="7"/>
        <v>OK</v>
      </c>
      <c r="I106" s="1">
        <f>IF(G106&lt;0,-1,MIN(11,(YEAR(F106)-YEAR(Calc!$B$3))*12+MONTH(F106)-MONTH(Calc!$B$3)))</f>
        <v>5</v>
      </c>
    </row>
    <row r="107" spans="1:9" ht="14.5" x14ac:dyDescent="0.35">
      <c r="A107" t="s">
        <v>123</v>
      </c>
      <c r="B107" t="s">
        <v>6</v>
      </c>
      <c r="C107" t="s">
        <v>27</v>
      </c>
      <c r="D107" s="2">
        <v>46222</v>
      </c>
      <c r="E107">
        <v>90</v>
      </c>
      <c r="F107" s="3">
        <f t="shared" si="6"/>
        <v>46312</v>
      </c>
      <c r="G107" s="3">
        <f>F107-Calc!$B$3</f>
        <v>8</v>
      </c>
      <c r="H107" s="1" t="str">
        <f t="shared" si="7"/>
        <v>Due 30d</v>
      </c>
      <c r="I107" s="1">
        <f>IF(G107&lt;0,-1,MIN(11,(YEAR(F107)-YEAR(Calc!$B$3))*12+MONTH(F107)-MONTH(Calc!$B$3)))</f>
        <v>0</v>
      </c>
    </row>
    <row r="108" spans="1:9" ht="14.5" x14ac:dyDescent="0.35">
      <c r="A108" t="s">
        <v>124</v>
      </c>
      <c r="B108" t="s">
        <v>6</v>
      </c>
      <c r="C108" t="s">
        <v>31</v>
      </c>
      <c r="D108" s="2">
        <v>46235</v>
      </c>
      <c r="E108">
        <v>180</v>
      </c>
      <c r="F108" s="3">
        <f t="shared" si="6"/>
        <v>46415</v>
      </c>
      <c r="G108" s="3">
        <f>F108-Calc!$B$3</f>
        <v>111</v>
      </c>
      <c r="H108" s="1" t="str">
        <f t="shared" si="7"/>
        <v>OK</v>
      </c>
      <c r="I108" s="1">
        <f>IF(G108&lt;0,-1,MIN(11,(YEAR(F108)-YEAR(Calc!$B$3))*12+MONTH(F108)-MONTH(Calc!$B$3)))</f>
        <v>3</v>
      </c>
    </row>
    <row r="109" spans="1:9" ht="14.5" x14ac:dyDescent="0.35">
      <c r="A109" t="s">
        <v>125</v>
      </c>
      <c r="B109" t="s">
        <v>47</v>
      </c>
      <c r="C109" t="s">
        <v>20</v>
      </c>
      <c r="D109" s="2">
        <v>46067</v>
      </c>
      <c r="E109">
        <v>365</v>
      </c>
      <c r="F109" s="3">
        <f t="shared" si="6"/>
        <v>46432</v>
      </c>
      <c r="G109" s="3">
        <f>F109-Calc!$B$3</f>
        <v>128</v>
      </c>
      <c r="H109" s="1" t="str">
        <f t="shared" si="7"/>
        <v>OK</v>
      </c>
      <c r="I109" s="1">
        <f>IF(G109&lt;0,-1,MIN(11,(YEAR(F109)-YEAR(Calc!$B$3))*12+MONTH(F109)-MONTH(Calc!$B$3)))</f>
        <v>4</v>
      </c>
    </row>
    <row r="110" spans="1:9" ht="14.5" x14ac:dyDescent="0.35">
      <c r="A110" t="s">
        <v>126</v>
      </c>
      <c r="B110" t="s">
        <v>19</v>
      </c>
      <c r="C110" t="s">
        <v>15</v>
      </c>
      <c r="D110" s="2">
        <v>46002</v>
      </c>
      <c r="E110">
        <v>365</v>
      </c>
      <c r="F110" s="3">
        <f t="shared" si="6"/>
        <v>46367</v>
      </c>
      <c r="G110" s="3">
        <f>F110-Calc!$B$3</f>
        <v>63</v>
      </c>
      <c r="H110" s="1" t="str">
        <f t="shared" si="7"/>
        <v>OK</v>
      </c>
      <c r="I110" s="1">
        <f>IF(G110&lt;0,-1,MIN(11,(YEAR(F110)-YEAR(Calc!$B$3))*12+MONTH(F110)-MONTH(Calc!$B$3)))</f>
        <v>2</v>
      </c>
    </row>
    <row r="111" spans="1:9" ht="14.5" x14ac:dyDescent="0.35">
      <c r="A111" t="s">
        <v>127</v>
      </c>
      <c r="B111" t="s">
        <v>47</v>
      </c>
      <c r="C111" t="s">
        <v>15</v>
      </c>
      <c r="D111" s="2">
        <v>46188</v>
      </c>
      <c r="E111">
        <v>365</v>
      </c>
      <c r="F111" s="3">
        <f t="shared" si="6"/>
        <v>46553</v>
      </c>
      <c r="G111" s="3">
        <f>F111-Calc!$B$3</f>
        <v>249</v>
      </c>
      <c r="H111" s="1" t="str">
        <f t="shared" si="7"/>
        <v>OK</v>
      </c>
      <c r="I111" s="1">
        <f>IF(G111&lt;0,-1,MIN(11,(YEAR(F111)-YEAR(Calc!$B$3))*12+MONTH(F111)-MONTH(Calc!$B$3)))</f>
        <v>8</v>
      </c>
    </row>
    <row r="112" spans="1:9" ht="14.5" x14ac:dyDescent="0.35">
      <c r="A112" t="s">
        <v>128</v>
      </c>
      <c r="B112" t="s">
        <v>6</v>
      </c>
      <c r="C112" t="s">
        <v>34</v>
      </c>
      <c r="D112" s="2">
        <v>46225</v>
      </c>
      <c r="E112">
        <v>180</v>
      </c>
      <c r="F112" s="3">
        <f t="shared" si="6"/>
        <v>46405</v>
      </c>
      <c r="G112" s="3">
        <f>F112-Calc!$B$3</f>
        <v>101</v>
      </c>
      <c r="H112" s="1" t="str">
        <f t="shared" si="7"/>
        <v>OK</v>
      </c>
      <c r="I112" s="1">
        <f>IF(G112&lt;0,-1,MIN(11,(YEAR(F112)-YEAR(Calc!$B$3))*12+MONTH(F112)-MONTH(Calc!$B$3)))</f>
        <v>3</v>
      </c>
    </row>
    <row r="113" spans="1:9" ht="14.5" x14ac:dyDescent="0.35">
      <c r="A113" t="s">
        <v>129</v>
      </c>
      <c r="B113" t="s">
        <v>9</v>
      </c>
      <c r="C113" t="s">
        <v>20</v>
      </c>
      <c r="D113" s="2">
        <v>46217</v>
      </c>
      <c r="E113">
        <v>365</v>
      </c>
      <c r="F113" s="3">
        <f t="shared" si="6"/>
        <v>46582</v>
      </c>
      <c r="G113" s="3">
        <f>F113-Calc!$B$3</f>
        <v>278</v>
      </c>
      <c r="H113" s="1" t="str">
        <f t="shared" si="7"/>
        <v>OK</v>
      </c>
      <c r="I113" s="1">
        <f>IF(G113&lt;0,-1,MIN(11,(YEAR(F113)-YEAR(Calc!$B$3))*12+MONTH(F113)-MONTH(Calc!$B$3)))</f>
        <v>9</v>
      </c>
    </row>
    <row r="114" spans="1:9" ht="14.5" x14ac:dyDescent="0.35">
      <c r="A114" t="s">
        <v>130</v>
      </c>
      <c r="B114" t="s">
        <v>19</v>
      </c>
      <c r="C114" t="s">
        <v>15</v>
      </c>
      <c r="D114" s="2">
        <v>46071</v>
      </c>
      <c r="E114">
        <v>365</v>
      </c>
      <c r="F114" s="3">
        <f t="shared" si="6"/>
        <v>46436</v>
      </c>
      <c r="G114" s="3">
        <f>F114-Calc!$B$3</f>
        <v>132</v>
      </c>
      <c r="H114" s="1" t="str">
        <f t="shared" si="7"/>
        <v>OK</v>
      </c>
      <c r="I114" s="1">
        <f>IF(G114&lt;0,-1,MIN(11,(YEAR(F114)-YEAR(Calc!$B$3))*12+MONTH(F114)-MONTH(Calc!$B$3)))</f>
        <v>4</v>
      </c>
    </row>
    <row r="115" spans="1:9" ht="14.5" x14ac:dyDescent="0.35">
      <c r="A115" t="s">
        <v>131</v>
      </c>
      <c r="B115" t="s">
        <v>14</v>
      </c>
      <c r="C115" t="s">
        <v>10</v>
      </c>
      <c r="D115" s="2">
        <v>46229</v>
      </c>
      <c r="E115">
        <v>180</v>
      </c>
      <c r="F115" s="3">
        <f t="shared" si="6"/>
        <v>46409</v>
      </c>
      <c r="G115" s="3">
        <f>F115-Calc!$B$3</f>
        <v>105</v>
      </c>
      <c r="H115" s="1" t="str">
        <f t="shared" si="7"/>
        <v>OK</v>
      </c>
      <c r="I115" s="1">
        <f>IF(G115&lt;0,-1,MIN(11,(YEAR(F115)-YEAR(Calc!$B$3))*12+MONTH(F115)-MONTH(Calc!$B$3)))</f>
        <v>3</v>
      </c>
    </row>
    <row r="116" spans="1:9" ht="14.5" x14ac:dyDescent="0.35">
      <c r="A116" t="s">
        <v>132</v>
      </c>
      <c r="B116" t="s">
        <v>14</v>
      </c>
      <c r="C116" t="s">
        <v>20</v>
      </c>
      <c r="D116" s="2">
        <v>46133</v>
      </c>
      <c r="E116">
        <v>365</v>
      </c>
      <c r="F116" s="3">
        <f t="shared" si="6"/>
        <v>46498</v>
      </c>
      <c r="G116" s="3">
        <f>F116-Calc!$B$3</f>
        <v>194</v>
      </c>
      <c r="H116" s="1" t="str">
        <f t="shared" si="7"/>
        <v>OK</v>
      </c>
      <c r="I116" s="1">
        <f>IF(G116&lt;0,-1,MIN(11,(YEAR(F116)-YEAR(Calc!$B$3))*12+MONTH(F116)-MONTH(Calc!$B$3)))</f>
        <v>6</v>
      </c>
    </row>
    <row r="117" spans="1:9" ht="14.5" x14ac:dyDescent="0.35">
      <c r="A117" t="s">
        <v>133</v>
      </c>
      <c r="B117" t="s">
        <v>6</v>
      </c>
      <c r="C117" t="s">
        <v>34</v>
      </c>
      <c r="D117" s="2">
        <v>46210</v>
      </c>
      <c r="E117">
        <v>180</v>
      </c>
      <c r="F117" s="3">
        <f t="shared" si="6"/>
        <v>46390</v>
      </c>
      <c r="G117" s="3">
        <f>F117-Calc!$B$3</f>
        <v>86</v>
      </c>
      <c r="H117" s="1" t="str">
        <f t="shared" si="7"/>
        <v>OK</v>
      </c>
      <c r="I117" s="1">
        <f>IF(G117&lt;0,-1,MIN(11,(YEAR(F117)-YEAR(Calc!$B$3))*12+MONTH(F117)-MONTH(Calc!$B$3)))</f>
        <v>3</v>
      </c>
    </row>
    <row r="118" spans="1:9" ht="14.5" x14ac:dyDescent="0.35">
      <c r="A118" t="s">
        <v>134</v>
      </c>
      <c r="B118" t="s">
        <v>6</v>
      </c>
      <c r="C118" t="s">
        <v>34</v>
      </c>
      <c r="D118" s="2">
        <v>46161</v>
      </c>
      <c r="E118">
        <v>180</v>
      </c>
      <c r="F118" s="3">
        <f t="shared" si="6"/>
        <v>46341</v>
      </c>
      <c r="G118" s="3">
        <f>F118-Calc!$B$3</f>
        <v>37</v>
      </c>
      <c r="H118" s="1" t="str">
        <f t="shared" si="7"/>
        <v>OK</v>
      </c>
      <c r="I118" s="1">
        <f>IF(G118&lt;0,-1,MIN(11,(YEAR(F118)-YEAR(Calc!$B$3))*12+MONTH(F118)-MONTH(Calc!$B$3)))</f>
        <v>1</v>
      </c>
    </row>
    <row r="119" spans="1:9" ht="14.5" x14ac:dyDescent="0.35">
      <c r="A119" t="s">
        <v>135</v>
      </c>
      <c r="B119" t="s">
        <v>14</v>
      </c>
      <c r="C119" t="s">
        <v>10</v>
      </c>
      <c r="D119" s="2">
        <v>46137</v>
      </c>
      <c r="E119">
        <v>180</v>
      </c>
      <c r="F119" s="3">
        <f t="shared" si="6"/>
        <v>46317</v>
      </c>
      <c r="G119" s="3">
        <f>F119-Calc!$B$3</f>
        <v>13</v>
      </c>
      <c r="H119" s="1" t="str">
        <f t="shared" si="7"/>
        <v>Due 30d</v>
      </c>
      <c r="I119" s="1">
        <f>IF(G119&lt;0,-1,MIN(11,(YEAR(F119)-YEAR(Calc!$B$3))*12+MONTH(F119)-MONTH(Calc!$B$3)))</f>
        <v>0</v>
      </c>
    </row>
    <row r="120" spans="1:9" ht="14.5" x14ac:dyDescent="0.35">
      <c r="A120" t="s">
        <v>136</v>
      </c>
      <c r="B120" t="s">
        <v>6</v>
      </c>
      <c r="C120" t="s">
        <v>31</v>
      </c>
      <c r="D120" s="2">
        <v>46260</v>
      </c>
      <c r="E120">
        <v>180</v>
      </c>
      <c r="F120" s="3">
        <f t="shared" si="6"/>
        <v>46440</v>
      </c>
      <c r="G120" s="3">
        <f>F120-Calc!$B$3</f>
        <v>136</v>
      </c>
      <c r="H120" s="1" t="str">
        <f t="shared" si="7"/>
        <v>OK</v>
      </c>
      <c r="I120" s="1">
        <f>IF(G120&lt;0,-1,MIN(11,(YEAR(F120)-YEAR(Calc!$B$3))*12+MONTH(F120)-MONTH(Calc!$B$3)))</f>
        <v>4</v>
      </c>
    </row>
    <row r="121" spans="1:9" ht="14.5" x14ac:dyDescent="0.35">
      <c r="A121" t="s">
        <v>137</v>
      </c>
      <c r="B121" t="s">
        <v>6</v>
      </c>
      <c r="C121" t="s">
        <v>34</v>
      </c>
      <c r="D121" s="2">
        <v>46279</v>
      </c>
      <c r="E121">
        <v>180</v>
      </c>
      <c r="F121" s="3">
        <f t="shared" si="6"/>
        <v>46459</v>
      </c>
      <c r="G121" s="3">
        <f>F121-Calc!$B$3</f>
        <v>155</v>
      </c>
      <c r="H121" s="1" t="str">
        <f t="shared" si="7"/>
        <v>OK</v>
      </c>
      <c r="I121" s="1">
        <f>IF(G121&lt;0,-1,MIN(11,(YEAR(F121)-YEAR(Calc!$B$3))*12+MONTH(F121)-MONTH(Calc!$B$3)))</f>
        <v>5</v>
      </c>
    </row>
    <row r="122" spans="1:9" ht="14.5" x14ac:dyDescent="0.35">
      <c r="A122" t="s">
        <v>138</v>
      </c>
      <c r="B122" t="s">
        <v>6</v>
      </c>
      <c r="C122" t="s">
        <v>27</v>
      </c>
      <c r="D122" s="2">
        <v>46248</v>
      </c>
      <c r="E122">
        <v>90</v>
      </c>
      <c r="F122" s="3">
        <f t="shared" si="6"/>
        <v>46338</v>
      </c>
      <c r="G122" s="3">
        <f>F122-Calc!$B$3</f>
        <v>34</v>
      </c>
      <c r="H122" s="1" t="str">
        <f t="shared" si="7"/>
        <v>OK</v>
      </c>
      <c r="I122" s="1">
        <f>IF(G122&lt;0,-1,MIN(11,(YEAR(F122)-YEAR(Calc!$B$3))*12+MONTH(F122)-MONTH(Calc!$B$3)))</f>
        <v>1</v>
      </c>
    </row>
    <row r="123" spans="1:9" ht="14.5" x14ac:dyDescent="0.35">
      <c r="A123" t="s">
        <v>139</v>
      </c>
      <c r="B123" t="s">
        <v>9</v>
      </c>
      <c r="C123" t="s">
        <v>17</v>
      </c>
      <c r="D123" s="2">
        <v>46279</v>
      </c>
      <c r="E123">
        <v>90</v>
      </c>
      <c r="F123" s="3">
        <f t="shared" si="6"/>
        <v>46369</v>
      </c>
      <c r="G123" s="3">
        <f>F123-Calc!$B$3</f>
        <v>65</v>
      </c>
      <c r="H123" s="1" t="str">
        <f t="shared" si="7"/>
        <v>OK</v>
      </c>
      <c r="I123" s="1">
        <f>IF(G123&lt;0,-1,MIN(11,(YEAR(F123)-YEAR(Calc!$B$3))*12+MONTH(F123)-MONTH(Calc!$B$3)))</f>
        <v>2</v>
      </c>
    </row>
    <row r="124" spans="1:9" ht="14.5" x14ac:dyDescent="0.35">
      <c r="A124" t="s">
        <v>140</v>
      </c>
      <c r="B124" t="s">
        <v>9</v>
      </c>
      <c r="C124" t="s">
        <v>34</v>
      </c>
      <c r="D124" s="2">
        <v>46254</v>
      </c>
      <c r="E124">
        <v>180</v>
      </c>
      <c r="F124" s="3">
        <f t="shared" si="6"/>
        <v>46434</v>
      </c>
      <c r="G124" s="3">
        <f>F124-Calc!$B$3</f>
        <v>130</v>
      </c>
      <c r="H124" s="1" t="str">
        <f t="shared" si="7"/>
        <v>OK</v>
      </c>
      <c r="I124" s="1">
        <f>IF(G124&lt;0,-1,MIN(11,(YEAR(F124)-YEAR(Calc!$B$3))*12+MONTH(F124)-MONTH(Calc!$B$3)))</f>
        <v>4</v>
      </c>
    </row>
    <row r="125" spans="1:9" ht="14.5" x14ac:dyDescent="0.35">
      <c r="A125" t="s">
        <v>141</v>
      </c>
      <c r="B125" t="s">
        <v>6</v>
      </c>
      <c r="C125" t="s">
        <v>7</v>
      </c>
      <c r="D125" s="2">
        <v>46249</v>
      </c>
      <c r="E125">
        <v>365</v>
      </c>
      <c r="F125" s="3">
        <f t="shared" si="6"/>
        <v>46614</v>
      </c>
      <c r="G125" s="3">
        <f>F125-Calc!$B$3</f>
        <v>310</v>
      </c>
      <c r="H125" s="1" t="str">
        <f t="shared" si="7"/>
        <v>OK</v>
      </c>
      <c r="I125" s="1">
        <f>IF(G125&lt;0,-1,MIN(11,(YEAR(F125)-YEAR(Calc!$B$3))*12+MONTH(F125)-MONTH(Calc!$B$3)))</f>
        <v>10</v>
      </c>
    </row>
    <row r="126" spans="1:9" ht="14.5" x14ac:dyDescent="0.35">
      <c r="A126" t="s">
        <v>142</v>
      </c>
      <c r="B126" t="s">
        <v>14</v>
      </c>
      <c r="C126" t="s">
        <v>17</v>
      </c>
      <c r="D126" s="2">
        <v>46226</v>
      </c>
      <c r="E126">
        <v>90</v>
      </c>
      <c r="F126" s="3">
        <f t="shared" si="6"/>
        <v>46316</v>
      </c>
      <c r="G126" s="3">
        <f>F126-Calc!$B$3</f>
        <v>12</v>
      </c>
      <c r="H126" s="1" t="str">
        <f t="shared" si="7"/>
        <v>Due 30d</v>
      </c>
      <c r="I126" s="1">
        <f>IF(G126&lt;0,-1,MIN(11,(YEAR(F126)-YEAR(Calc!$B$3))*12+MONTH(F126)-MONTH(Calc!$B$3)))</f>
        <v>0</v>
      </c>
    </row>
    <row r="127" spans="1:9" ht="14.5" x14ac:dyDescent="0.35">
      <c r="A127" t="s">
        <v>143</v>
      </c>
      <c r="B127" t="s">
        <v>6</v>
      </c>
      <c r="C127" t="s">
        <v>27</v>
      </c>
      <c r="D127" s="2">
        <v>46223</v>
      </c>
      <c r="E127">
        <v>90</v>
      </c>
      <c r="F127" s="3">
        <f t="shared" si="6"/>
        <v>46313</v>
      </c>
      <c r="G127" s="3">
        <f>F127-Calc!$B$3</f>
        <v>9</v>
      </c>
      <c r="H127" s="1" t="str">
        <f t="shared" si="7"/>
        <v>Due 30d</v>
      </c>
      <c r="I127" s="1">
        <f>IF(G127&lt;0,-1,MIN(11,(YEAR(F127)-YEAR(Calc!$B$3))*12+MONTH(F127)-MONTH(Calc!$B$3)))</f>
        <v>0</v>
      </c>
    </row>
    <row r="128" spans="1:9" ht="14.5" x14ac:dyDescent="0.35">
      <c r="A128" t="s">
        <v>144</v>
      </c>
      <c r="B128" t="s">
        <v>9</v>
      </c>
      <c r="C128" t="s">
        <v>27</v>
      </c>
      <c r="D128" s="2">
        <v>46218</v>
      </c>
      <c r="E128">
        <v>90</v>
      </c>
      <c r="F128" s="3">
        <f t="shared" si="6"/>
        <v>46308</v>
      </c>
      <c r="G128" s="3">
        <f>F128-Calc!$B$3</f>
        <v>4</v>
      </c>
      <c r="H128" s="1" t="str">
        <f t="shared" si="7"/>
        <v>Due 30d</v>
      </c>
      <c r="I128" s="1">
        <f>IF(G128&lt;0,-1,MIN(11,(YEAR(F128)-YEAR(Calc!$B$3))*12+MONTH(F128)-MONTH(Calc!$B$3)))</f>
        <v>0</v>
      </c>
    </row>
    <row r="129" spans="1:9" ht="14.5" x14ac:dyDescent="0.35">
      <c r="A129" t="s">
        <v>145</v>
      </c>
      <c r="B129" t="s">
        <v>6</v>
      </c>
      <c r="C129" t="s">
        <v>31</v>
      </c>
      <c r="D129" s="2">
        <v>46192</v>
      </c>
      <c r="E129">
        <v>180</v>
      </c>
      <c r="F129" s="3">
        <f t="shared" si="6"/>
        <v>46372</v>
      </c>
      <c r="G129" s="3">
        <f>F129-Calc!$B$3</f>
        <v>68</v>
      </c>
      <c r="H129" s="1" t="str">
        <f t="shared" si="7"/>
        <v>OK</v>
      </c>
      <c r="I129" s="1">
        <f>IF(G129&lt;0,-1,MIN(11,(YEAR(F129)-YEAR(Calc!$B$3))*12+MONTH(F129)-MONTH(Calc!$B$3)))</f>
        <v>2</v>
      </c>
    </row>
    <row r="130" spans="1:9" ht="14.5" x14ac:dyDescent="0.35">
      <c r="A130" t="s">
        <v>146</v>
      </c>
      <c r="B130" t="s">
        <v>47</v>
      </c>
      <c r="C130" t="s">
        <v>20</v>
      </c>
      <c r="D130" s="2">
        <v>46021</v>
      </c>
      <c r="E130">
        <v>365</v>
      </c>
      <c r="F130" s="3">
        <f t="shared" ref="F130:F161" si="8">D130+E130</f>
        <v>46386</v>
      </c>
      <c r="G130" s="3">
        <f>F130-Calc!$B$3</f>
        <v>82</v>
      </c>
      <c r="H130" s="1" t="str">
        <f t="shared" ref="H130:H161" si="9">IF(G130&lt;0,"Overdue",IF(G130&lt;=30,"Due 30d","OK"))</f>
        <v>OK</v>
      </c>
      <c r="I130" s="1">
        <f>IF(G130&lt;0,-1,MIN(11,(YEAR(F130)-YEAR(Calc!$B$3))*12+MONTH(F130)-MONTH(Calc!$B$3)))</f>
        <v>2</v>
      </c>
    </row>
    <row r="131" spans="1:9" ht="14.5" x14ac:dyDescent="0.35">
      <c r="A131" t="s">
        <v>147</v>
      </c>
      <c r="B131" t="s">
        <v>19</v>
      </c>
      <c r="C131" t="s">
        <v>15</v>
      </c>
      <c r="D131" s="2">
        <v>46014</v>
      </c>
      <c r="E131">
        <v>365</v>
      </c>
      <c r="F131" s="3">
        <f t="shared" si="8"/>
        <v>46379</v>
      </c>
      <c r="G131" s="3">
        <f>F131-Calc!$B$3</f>
        <v>75</v>
      </c>
      <c r="H131" s="1" t="str">
        <f t="shared" si="9"/>
        <v>OK</v>
      </c>
      <c r="I131" s="1">
        <f>IF(G131&lt;0,-1,MIN(11,(YEAR(F131)-YEAR(Calc!$B$3))*12+MONTH(F131)-MONTH(Calc!$B$3)))</f>
        <v>2</v>
      </c>
    </row>
    <row r="132" spans="1:9" ht="14.5" x14ac:dyDescent="0.35">
      <c r="A132" t="s">
        <v>148</v>
      </c>
      <c r="B132" t="s">
        <v>6</v>
      </c>
      <c r="C132" t="s">
        <v>7</v>
      </c>
      <c r="D132" s="2">
        <v>46217</v>
      </c>
      <c r="E132">
        <v>365</v>
      </c>
      <c r="F132" s="3">
        <f t="shared" si="8"/>
        <v>46582</v>
      </c>
      <c r="G132" s="3">
        <f>F132-Calc!$B$3</f>
        <v>278</v>
      </c>
      <c r="H132" s="1" t="str">
        <f t="shared" si="9"/>
        <v>OK</v>
      </c>
      <c r="I132" s="1">
        <f>IF(G132&lt;0,-1,MIN(11,(YEAR(F132)-YEAR(Calc!$B$3))*12+MONTH(F132)-MONTH(Calc!$B$3)))</f>
        <v>9</v>
      </c>
    </row>
    <row r="133" spans="1:9" ht="14.5" x14ac:dyDescent="0.35">
      <c r="A133" t="s">
        <v>149</v>
      </c>
      <c r="B133" t="s">
        <v>47</v>
      </c>
      <c r="C133" t="s">
        <v>15</v>
      </c>
      <c r="D133" s="2">
        <v>45981</v>
      </c>
      <c r="E133">
        <v>365</v>
      </c>
      <c r="F133" s="3">
        <f t="shared" si="8"/>
        <v>46346</v>
      </c>
      <c r="G133" s="3">
        <f>F133-Calc!$B$3</f>
        <v>42</v>
      </c>
      <c r="H133" s="1" t="str">
        <f t="shared" si="9"/>
        <v>OK</v>
      </c>
      <c r="I133" s="1">
        <f>IF(G133&lt;0,-1,MIN(11,(YEAR(F133)-YEAR(Calc!$B$3))*12+MONTH(F133)-MONTH(Calc!$B$3)))</f>
        <v>1</v>
      </c>
    </row>
    <row r="134" spans="1:9" ht="14.5" x14ac:dyDescent="0.35">
      <c r="A134" t="s">
        <v>150</v>
      </c>
      <c r="B134" t="s">
        <v>9</v>
      </c>
      <c r="C134" t="s">
        <v>10</v>
      </c>
      <c r="D134" s="2">
        <v>46181</v>
      </c>
      <c r="E134">
        <v>180</v>
      </c>
      <c r="F134" s="3">
        <f t="shared" si="8"/>
        <v>46361</v>
      </c>
      <c r="G134" s="3">
        <f>F134-Calc!$B$3</f>
        <v>57</v>
      </c>
      <c r="H134" s="1" t="str">
        <f t="shared" si="9"/>
        <v>OK</v>
      </c>
      <c r="I134" s="1">
        <f>IF(G134&lt;0,-1,MIN(11,(YEAR(F134)-YEAR(Calc!$B$3))*12+MONTH(F134)-MONTH(Calc!$B$3)))</f>
        <v>2</v>
      </c>
    </row>
    <row r="135" spans="1:9" ht="14.5" x14ac:dyDescent="0.35">
      <c r="A135" t="s">
        <v>151</v>
      </c>
      <c r="B135" t="s">
        <v>6</v>
      </c>
      <c r="C135" t="s">
        <v>27</v>
      </c>
      <c r="D135" s="2">
        <v>46257</v>
      </c>
      <c r="E135">
        <v>90</v>
      </c>
      <c r="F135" s="3">
        <f t="shared" si="8"/>
        <v>46347</v>
      </c>
      <c r="G135" s="3">
        <f>F135-Calc!$B$3</f>
        <v>43</v>
      </c>
      <c r="H135" s="1" t="str">
        <f t="shared" si="9"/>
        <v>OK</v>
      </c>
      <c r="I135" s="1">
        <f>IF(G135&lt;0,-1,MIN(11,(YEAR(F135)-YEAR(Calc!$B$3))*12+MONTH(F135)-MONTH(Calc!$B$3)))</f>
        <v>1</v>
      </c>
    </row>
    <row r="136" spans="1:9" ht="14.5" x14ac:dyDescent="0.35">
      <c r="A136" t="s">
        <v>152</v>
      </c>
      <c r="B136" t="s">
        <v>6</v>
      </c>
      <c r="C136" t="s">
        <v>31</v>
      </c>
      <c r="D136" s="2">
        <v>46161</v>
      </c>
      <c r="E136">
        <v>180</v>
      </c>
      <c r="F136" s="3">
        <f t="shared" si="8"/>
        <v>46341</v>
      </c>
      <c r="G136" s="3">
        <f>F136-Calc!$B$3</f>
        <v>37</v>
      </c>
      <c r="H136" s="1" t="str">
        <f t="shared" si="9"/>
        <v>OK</v>
      </c>
      <c r="I136" s="1">
        <f>IF(G136&lt;0,-1,MIN(11,(YEAR(F136)-YEAR(Calc!$B$3))*12+MONTH(F136)-MONTH(Calc!$B$3)))</f>
        <v>1</v>
      </c>
    </row>
    <row r="137" spans="1:9" ht="14.5" x14ac:dyDescent="0.35">
      <c r="A137" t="s">
        <v>153</v>
      </c>
      <c r="B137" t="s">
        <v>9</v>
      </c>
      <c r="C137" t="s">
        <v>10</v>
      </c>
      <c r="D137" s="2">
        <v>46125</v>
      </c>
      <c r="E137">
        <v>180</v>
      </c>
      <c r="F137" s="3">
        <f t="shared" si="8"/>
        <v>46305</v>
      </c>
      <c r="G137" s="3">
        <f>F137-Calc!$B$3</f>
        <v>1</v>
      </c>
      <c r="H137" s="1" t="str">
        <f t="shared" si="9"/>
        <v>Due 30d</v>
      </c>
      <c r="I137" s="1">
        <f>IF(G137&lt;0,-1,MIN(11,(YEAR(F137)-YEAR(Calc!$B$3))*12+MONTH(F137)-MONTH(Calc!$B$3)))</f>
        <v>0</v>
      </c>
    </row>
    <row r="138" spans="1:9" ht="14.5" x14ac:dyDescent="0.35">
      <c r="A138" t="s">
        <v>154</v>
      </c>
      <c r="B138" t="s">
        <v>6</v>
      </c>
      <c r="C138" t="s">
        <v>27</v>
      </c>
      <c r="D138" s="2">
        <v>46284</v>
      </c>
      <c r="E138">
        <v>90</v>
      </c>
      <c r="F138" s="3">
        <f t="shared" si="8"/>
        <v>46374</v>
      </c>
      <c r="G138" s="3">
        <f>F138-Calc!$B$3</f>
        <v>70</v>
      </c>
      <c r="H138" s="1" t="str">
        <f t="shared" si="9"/>
        <v>OK</v>
      </c>
      <c r="I138" s="1">
        <f>IF(G138&lt;0,-1,MIN(11,(YEAR(F138)-YEAR(Calc!$B$3))*12+MONTH(F138)-MONTH(Calc!$B$3)))</f>
        <v>2</v>
      </c>
    </row>
    <row r="139" spans="1:9" ht="14.5" x14ac:dyDescent="0.35">
      <c r="A139" t="s">
        <v>155</v>
      </c>
      <c r="B139" t="s">
        <v>6</v>
      </c>
      <c r="C139" t="s">
        <v>31</v>
      </c>
      <c r="D139" s="2">
        <v>46218</v>
      </c>
      <c r="E139">
        <v>180</v>
      </c>
      <c r="F139" s="3">
        <f t="shared" si="8"/>
        <v>46398</v>
      </c>
      <c r="G139" s="3">
        <f>F139-Calc!$B$3</f>
        <v>94</v>
      </c>
      <c r="H139" s="1" t="str">
        <f t="shared" si="9"/>
        <v>OK</v>
      </c>
      <c r="I139" s="1">
        <f>IF(G139&lt;0,-1,MIN(11,(YEAR(F139)-YEAR(Calc!$B$3))*12+MONTH(F139)-MONTH(Calc!$B$3)))</f>
        <v>3</v>
      </c>
    </row>
    <row r="140" spans="1:9" ht="14.5" x14ac:dyDescent="0.35">
      <c r="A140" t="s">
        <v>156</v>
      </c>
      <c r="B140" t="s">
        <v>9</v>
      </c>
      <c r="C140" t="s">
        <v>27</v>
      </c>
      <c r="D140" s="2">
        <v>46265</v>
      </c>
      <c r="E140">
        <v>90</v>
      </c>
      <c r="F140" s="3">
        <f t="shared" si="8"/>
        <v>46355</v>
      </c>
      <c r="G140" s="3">
        <f>F140-Calc!$B$3</f>
        <v>51</v>
      </c>
      <c r="H140" s="1" t="str">
        <f t="shared" si="9"/>
        <v>OK</v>
      </c>
      <c r="I140" s="1">
        <f>IF(G140&lt;0,-1,MIN(11,(YEAR(F140)-YEAR(Calc!$B$3))*12+MONTH(F140)-MONTH(Calc!$B$3)))</f>
        <v>1</v>
      </c>
    </row>
    <row r="141" spans="1:9" ht="14.5" x14ac:dyDescent="0.35">
      <c r="A141" t="s">
        <v>157</v>
      </c>
      <c r="B141" t="s">
        <v>6</v>
      </c>
      <c r="C141" t="s">
        <v>7</v>
      </c>
      <c r="D141" s="2">
        <v>46086</v>
      </c>
      <c r="E141">
        <v>365</v>
      </c>
      <c r="F141" s="3">
        <f t="shared" si="8"/>
        <v>46451</v>
      </c>
      <c r="G141" s="3">
        <f>F141-Calc!$B$3</f>
        <v>147</v>
      </c>
      <c r="H141" s="1" t="str">
        <f t="shared" si="9"/>
        <v>OK</v>
      </c>
      <c r="I141" s="1">
        <f>IF(G141&lt;0,-1,MIN(11,(YEAR(F141)-YEAR(Calc!$B$3))*12+MONTH(F141)-MONTH(Calc!$B$3)))</f>
        <v>5</v>
      </c>
    </row>
    <row r="142" spans="1:9" ht="14.5" x14ac:dyDescent="0.35">
      <c r="A142" t="s">
        <v>158</v>
      </c>
      <c r="B142" t="s">
        <v>9</v>
      </c>
      <c r="C142" t="s">
        <v>10</v>
      </c>
      <c r="D142" s="2">
        <v>46172</v>
      </c>
      <c r="E142">
        <v>180</v>
      </c>
      <c r="F142" s="3">
        <f t="shared" si="8"/>
        <v>46352</v>
      </c>
      <c r="G142" s="3">
        <f>F142-Calc!$B$3</f>
        <v>48</v>
      </c>
      <c r="H142" s="1" t="str">
        <f t="shared" si="9"/>
        <v>OK</v>
      </c>
      <c r="I142" s="1">
        <f>IF(G142&lt;0,-1,MIN(11,(YEAR(F142)-YEAR(Calc!$B$3))*12+MONTH(F142)-MONTH(Calc!$B$3)))</f>
        <v>1</v>
      </c>
    </row>
    <row r="143" spans="1:9" ht="14.5" x14ac:dyDescent="0.35">
      <c r="A143" t="s">
        <v>159</v>
      </c>
      <c r="B143" t="s">
        <v>9</v>
      </c>
      <c r="C143" t="s">
        <v>20</v>
      </c>
      <c r="D143" s="2">
        <v>46011</v>
      </c>
      <c r="E143">
        <v>365</v>
      </c>
      <c r="F143" s="3">
        <f t="shared" si="8"/>
        <v>46376</v>
      </c>
      <c r="G143" s="3">
        <f>F143-Calc!$B$3</f>
        <v>72</v>
      </c>
      <c r="H143" s="1" t="str">
        <f t="shared" si="9"/>
        <v>OK</v>
      </c>
      <c r="I143" s="1">
        <f>IF(G143&lt;0,-1,MIN(11,(YEAR(F143)-YEAR(Calc!$B$3))*12+MONTH(F143)-MONTH(Calc!$B$3)))</f>
        <v>2</v>
      </c>
    </row>
    <row r="144" spans="1:9" ht="14.5" x14ac:dyDescent="0.35">
      <c r="A144" t="s">
        <v>160</v>
      </c>
      <c r="B144" t="s">
        <v>6</v>
      </c>
      <c r="C144" t="s">
        <v>7</v>
      </c>
      <c r="D144" s="2">
        <v>45962</v>
      </c>
      <c r="E144">
        <v>365</v>
      </c>
      <c r="F144" s="3">
        <f t="shared" si="8"/>
        <v>46327</v>
      </c>
      <c r="G144" s="3">
        <f>F144-Calc!$B$3</f>
        <v>23</v>
      </c>
      <c r="H144" s="1" t="str">
        <f t="shared" si="9"/>
        <v>Due 30d</v>
      </c>
      <c r="I144" s="1">
        <f>IF(G144&lt;0,-1,MIN(11,(YEAR(F144)-YEAR(Calc!$B$3))*12+MONTH(F144)-MONTH(Calc!$B$3)))</f>
        <v>1</v>
      </c>
    </row>
    <row r="145" spans="1:9" ht="14.5" x14ac:dyDescent="0.35">
      <c r="A145" t="s">
        <v>161</v>
      </c>
      <c r="B145" t="s">
        <v>6</v>
      </c>
      <c r="C145" t="s">
        <v>34</v>
      </c>
      <c r="D145" s="2">
        <v>46150</v>
      </c>
      <c r="E145">
        <v>180</v>
      </c>
      <c r="F145" s="3">
        <f t="shared" si="8"/>
        <v>46330</v>
      </c>
      <c r="G145" s="3">
        <f>F145-Calc!$B$3</f>
        <v>26</v>
      </c>
      <c r="H145" s="1" t="str">
        <f t="shared" si="9"/>
        <v>Due 30d</v>
      </c>
      <c r="I145" s="1">
        <f>IF(G145&lt;0,-1,MIN(11,(YEAR(F145)-YEAR(Calc!$B$3))*12+MONTH(F145)-MONTH(Calc!$B$3)))</f>
        <v>1</v>
      </c>
    </row>
    <row r="146" spans="1:9" ht="14.5" x14ac:dyDescent="0.35">
      <c r="A146" t="s">
        <v>162</v>
      </c>
      <c r="B146" t="s">
        <v>9</v>
      </c>
      <c r="C146" t="s">
        <v>17</v>
      </c>
      <c r="D146" s="2">
        <v>46243</v>
      </c>
      <c r="E146">
        <v>90</v>
      </c>
      <c r="F146" s="3">
        <f t="shared" si="8"/>
        <v>46333</v>
      </c>
      <c r="G146" s="3">
        <f>F146-Calc!$B$3</f>
        <v>29</v>
      </c>
      <c r="H146" s="1" t="str">
        <f t="shared" si="9"/>
        <v>Due 30d</v>
      </c>
      <c r="I146" s="1">
        <f>IF(G146&lt;0,-1,MIN(11,(YEAR(F146)-YEAR(Calc!$B$3))*12+MONTH(F146)-MONTH(Calc!$B$3)))</f>
        <v>1</v>
      </c>
    </row>
    <row r="147" spans="1:9" ht="14.5" x14ac:dyDescent="0.35">
      <c r="A147" t="s">
        <v>163</v>
      </c>
      <c r="B147" t="s">
        <v>47</v>
      </c>
      <c r="C147" t="s">
        <v>20</v>
      </c>
      <c r="D147" s="2">
        <v>45880</v>
      </c>
      <c r="E147">
        <v>365</v>
      </c>
      <c r="F147" s="3">
        <f t="shared" si="8"/>
        <v>46245</v>
      </c>
      <c r="G147" s="3">
        <f>F147-Calc!$B$3</f>
        <v>-59</v>
      </c>
      <c r="H147" s="1" t="str">
        <f t="shared" si="9"/>
        <v>Overdue</v>
      </c>
      <c r="I147" s="1">
        <f>IF(G147&lt;0,-1,MIN(11,(YEAR(F147)-YEAR(Calc!$B$3))*12+MONTH(F147)-MONTH(Calc!$B$3)))</f>
        <v>-1</v>
      </c>
    </row>
    <row r="148" spans="1:9" ht="14.5" x14ac:dyDescent="0.35">
      <c r="A148" t="s">
        <v>164</v>
      </c>
      <c r="B148" t="s">
        <v>9</v>
      </c>
      <c r="C148" t="s">
        <v>34</v>
      </c>
      <c r="D148" s="2">
        <v>46171</v>
      </c>
      <c r="E148">
        <v>180</v>
      </c>
      <c r="F148" s="3">
        <f t="shared" si="8"/>
        <v>46351</v>
      </c>
      <c r="G148" s="3">
        <f>F148-Calc!$B$3</f>
        <v>47</v>
      </c>
      <c r="H148" s="1" t="str">
        <f t="shared" si="9"/>
        <v>OK</v>
      </c>
      <c r="I148" s="1">
        <f>IF(G148&lt;0,-1,MIN(11,(YEAR(F148)-YEAR(Calc!$B$3))*12+MONTH(F148)-MONTH(Calc!$B$3)))</f>
        <v>1</v>
      </c>
    </row>
    <row r="149" spans="1:9" ht="14.5" x14ac:dyDescent="0.35">
      <c r="A149" t="s">
        <v>165</v>
      </c>
      <c r="B149" t="s">
        <v>14</v>
      </c>
      <c r="C149" t="s">
        <v>15</v>
      </c>
      <c r="D149" s="2">
        <v>45914</v>
      </c>
      <c r="E149">
        <v>365</v>
      </c>
      <c r="F149" s="3">
        <f t="shared" si="8"/>
        <v>46279</v>
      </c>
      <c r="G149" s="3">
        <f>F149-Calc!$B$3</f>
        <v>-25</v>
      </c>
      <c r="H149" s="1" t="str">
        <f t="shared" si="9"/>
        <v>Overdue</v>
      </c>
      <c r="I149" s="1">
        <f>IF(G149&lt;0,-1,MIN(11,(YEAR(F149)-YEAR(Calc!$B$3))*12+MONTH(F149)-MONTH(Calc!$B$3)))</f>
        <v>-1</v>
      </c>
    </row>
    <row r="150" spans="1:9" ht="14.5" x14ac:dyDescent="0.35">
      <c r="A150" t="s">
        <v>166</v>
      </c>
      <c r="B150" t="s">
        <v>14</v>
      </c>
      <c r="C150" t="s">
        <v>10</v>
      </c>
      <c r="D150" s="2">
        <v>46261</v>
      </c>
      <c r="E150">
        <v>180</v>
      </c>
      <c r="F150" s="3">
        <f t="shared" si="8"/>
        <v>46441</v>
      </c>
      <c r="G150" s="3">
        <f>F150-Calc!$B$3</f>
        <v>137</v>
      </c>
      <c r="H150" s="1" t="str">
        <f t="shared" si="9"/>
        <v>OK</v>
      </c>
      <c r="I150" s="1">
        <f>IF(G150&lt;0,-1,MIN(11,(YEAR(F150)-YEAR(Calc!$B$3))*12+MONTH(F150)-MONTH(Calc!$B$3)))</f>
        <v>4</v>
      </c>
    </row>
    <row r="151" spans="1:9" ht="14.5" x14ac:dyDescent="0.35">
      <c r="A151" t="s">
        <v>167</v>
      </c>
      <c r="B151" t="s">
        <v>9</v>
      </c>
      <c r="C151" t="s">
        <v>10</v>
      </c>
      <c r="D151" s="2">
        <v>46278</v>
      </c>
      <c r="E151">
        <v>180</v>
      </c>
      <c r="F151" s="3">
        <f t="shared" si="8"/>
        <v>46458</v>
      </c>
      <c r="G151" s="3">
        <f>F151-Calc!$B$3</f>
        <v>154</v>
      </c>
      <c r="H151" s="1" t="str">
        <f t="shared" si="9"/>
        <v>OK</v>
      </c>
      <c r="I151" s="1">
        <f>IF(G151&lt;0,-1,MIN(11,(YEAR(F151)-YEAR(Calc!$B$3))*12+MONTH(F151)-MONTH(Calc!$B$3)))</f>
        <v>5</v>
      </c>
    </row>
    <row r="152" spans="1:9" ht="14.5" x14ac:dyDescent="0.35">
      <c r="A152" t="s">
        <v>168</v>
      </c>
      <c r="B152" t="s">
        <v>47</v>
      </c>
      <c r="C152" t="s">
        <v>15</v>
      </c>
      <c r="D152" s="2">
        <v>46110</v>
      </c>
      <c r="E152">
        <v>365</v>
      </c>
      <c r="F152" s="3">
        <f t="shared" si="8"/>
        <v>46475</v>
      </c>
      <c r="G152" s="3">
        <f>F152-Calc!$B$3</f>
        <v>171</v>
      </c>
      <c r="H152" s="1" t="str">
        <f t="shared" si="9"/>
        <v>OK</v>
      </c>
      <c r="I152" s="1">
        <f>IF(G152&lt;0,-1,MIN(11,(YEAR(F152)-YEAR(Calc!$B$3))*12+MONTH(F152)-MONTH(Calc!$B$3)))</f>
        <v>5</v>
      </c>
    </row>
    <row r="153" spans="1:9" ht="14.5" x14ac:dyDescent="0.35">
      <c r="A153" t="s">
        <v>169</v>
      </c>
      <c r="B153" t="s">
        <v>14</v>
      </c>
      <c r="C153" t="s">
        <v>27</v>
      </c>
      <c r="D153" s="2">
        <v>46212</v>
      </c>
      <c r="E153">
        <v>90</v>
      </c>
      <c r="F153" s="3">
        <f t="shared" si="8"/>
        <v>46302</v>
      </c>
      <c r="G153" s="3">
        <f>F153-Calc!$B$3</f>
        <v>-2</v>
      </c>
      <c r="H153" s="1" t="str">
        <f t="shared" si="9"/>
        <v>Overdue</v>
      </c>
      <c r="I153" s="1">
        <f>IF(G153&lt;0,-1,MIN(11,(YEAR(F153)-YEAR(Calc!$B$3))*12+MONTH(F153)-MONTH(Calc!$B$3)))</f>
        <v>-1</v>
      </c>
    </row>
    <row r="154" spans="1:9" ht="14.5" x14ac:dyDescent="0.35">
      <c r="A154" t="s">
        <v>170</v>
      </c>
      <c r="B154" t="s">
        <v>14</v>
      </c>
      <c r="C154" t="s">
        <v>10</v>
      </c>
      <c r="D154" s="2">
        <v>46115</v>
      </c>
      <c r="E154">
        <v>180</v>
      </c>
      <c r="F154" s="3">
        <f t="shared" si="8"/>
        <v>46295</v>
      </c>
      <c r="G154" s="3">
        <f>F154-Calc!$B$3</f>
        <v>-9</v>
      </c>
      <c r="H154" s="1" t="str">
        <f t="shared" si="9"/>
        <v>Overdue</v>
      </c>
      <c r="I154" s="1">
        <f>IF(G154&lt;0,-1,MIN(11,(YEAR(F154)-YEAR(Calc!$B$3))*12+MONTH(F154)-MONTH(Calc!$B$3)))</f>
        <v>-1</v>
      </c>
    </row>
    <row r="155" spans="1:9" ht="14.5" x14ac:dyDescent="0.35">
      <c r="A155" t="s">
        <v>171</v>
      </c>
      <c r="B155" t="s">
        <v>6</v>
      </c>
      <c r="C155" t="s">
        <v>7</v>
      </c>
      <c r="D155" s="2">
        <v>46021</v>
      </c>
      <c r="E155">
        <v>365</v>
      </c>
      <c r="F155" s="3">
        <f t="shared" si="8"/>
        <v>46386</v>
      </c>
      <c r="G155" s="3">
        <f>F155-Calc!$B$3</f>
        <v>82</v>
      </c>
      <c r="H155" s="1" t="str">
        <f t="shared" si="9"/>
        <v>OK</v>
      </c>
      <c r="I155" s="1">
        <f>IF(G155&lt;0,-1,MIN(11,(YEAR(F155)-YEAR(Calc!$B$3))*12+MONTH(F155)-MONTH(Calc!$B$3)))</f>
        <v>2</v>
      </c>
    </row>
    <row r="156" spans="1:9" ht="14.5" x14ac:dyDescent="0.35">
      <c r="A156" t="s">
        <v>172</v>
      </c>
      <c r="B156" t="s">
        <v>6</v>
      </c>
      <c r="C156" t="s">
        <v>27</v>
      </c>
      <c r="D156" s="2">
        <v>46222</v>
      </c>
      <c r="E156">
        <v>90</v>
      </c>
      <c r="F156" s="3">
        <f t="shared" si="8"/>
        <v>46312</v>
      </c>
      <c r="G156" s="3">
        <f>F156-Calc!$B$3</f>
        <v>8</v>
      </c>
      <c r="H156" s="1" t="str">
        <f t="shared" si="9"/>
        <v>Due 30d</v>
      </c>
      <c r="I156" s="1">
        <f>IF(G156&lt;0,-1,MIN(11,(YEAR(F156)-YEAR(Calc!$B$3))*12+MONTH(F156)-MONTH(Calc!$B$3)))</f>
        <v>0</v>
      </c>
    </row>
    <row r="157" spans="1:9" ht="14.5" x14ac:dyDescent="0.35">
      <c r="A157" t="s">
        <v>173</v>
      </c>
      <c r="B157" t="s">
        <v>6</v>
      </c>
      <c r="C157" t="s">
        <v>17</v>
      </c>
      <c r="D157" s="2">
        <v>46234</v>
      </c>
      <c r="E157">
        <v>90</v>
      </c>
      <c r="F157" s="3">
        <f t="shared" si="8"/>
        <v>46324</v>
      </c>
      <c r="G157" s="3">
        <f>F157-Calc!$B$3</f>
        <v>20</v>
      </c>
      <c r="H157" s="1" t="str">
        <f t="shared" si="9"/>
        <v>Due 30d</v>
      </c>
      <c r="I157" s="1">
        <f>IF(G157&lt;0,-1,MIN(11,(YEAR(F157)-YEAR(Calc!$B$3))*12+MONTH(F157)-MONTH(Calc!$B$3)))</f>
        <v>0</v>
      </c>
    </row>
    <row r="158" spans="1:9" ht="14.5" x14ac:dyDescent="0.35">
      <c r="A158" t="s">
        <v>174</v>
      </c>
      <c r="B158" t="s">
        <v>9</v>
      </c>
      <c r="C158" t="s">
        <v>34</v>
      </c>
      <c r="D158" s="2">
        <v>46187</v>
      </c>
      <c r="E158">
        <v>180</v>
      </c>
      <c r="F158" s="3">
        <f t="shared" si="8"/>
        <v>46367</v>
      </c>
      <c r="G158" s="3">
        <f>F158-Calc!$B$3</f>
        <v>63</v>
      </c>
      <c r="H158" s="1" t="str">
        <f t="shared" si="9"/>
        <v>OK</v>
      </c>
      <c r="I158" s="1">
        <f>IF(G158&lt;0,-1,MIN(11,(YEAR(F158)-YEAR(Calc!$B$3))*12+MONTH(F158)-MONTH(Calc!$B$3)))</f>
        <v>2</v>
      </c>
    </row>
    <row r="159" spans="1:9" ht="14.5" x14ac:dyDescent="0.35">
      <c r="A159" t="s">
        <v>175</v>
      </c>
      <c r="B159" t="s">
        <v>6</v>
      </c>
      <c r="C159" t="s">
        <v>31</v>
      </c>
      <c r="D159" s="2">
        <v>46281</v>
      </c>
      <c r="E159">
        <v>180</v>
      </c>
      <c r="F159" s="3">
        <f t="shared" si="8"/>
        <v>46461</v>
      </c>
      <c r="G159" s="3">
        <f>F159-Calc!$B$3</f>
        <v>157</v>
      </c>
      <c r="H159" s="1" t="str">
        <f t="shared" si="9"/>
        <v>OK</v>
      </c>
      <c r="I159" s="1">
        <f>IF(G159&lt;0,-1,MIN(11,(YEAR(F159)-YEAR(Calc!$B$3))*12+MONTH(F159)-MONTH(Calc!$B$3)))</f>
        <v>5</v>
      </c>
    </row>
    <row r="160" spans="1:9" ht="14.5" x14ac:dyDescent="0.35">
      <c r="A160" t="s">
        <v>176</v>
      </c>
      <c r="B160" t="s">
        <v>6</v>
      </c>
      <c r="C160" t="s">
        <v>34</v>
      </c>
      <c r="D160" s="2">
        <v>46169</v>
      </c>
      <c r="E160">
        <v>180</v>
      </c>
      <c r="F160" s="3">
        <f t="shared" si="8"/>
        <v>46349</v>
      </c>
      <c r="G160" s="3">
        <f>F160-Calc!$B$3</f>
        <v>45</v>
      </c>
      <c r="H160" s="1" t="str">
        <f t="shared" si="9"/>
        <v>OK</v>
      </c>
      <c r="I160" s="1">
        <f>IF(G160&lt;0,-1,MIN(11,(YEAR(F160)-YEAR(Calc!$B$3))*12+MONTH(F160)-MONTH(Calc!$B$3)))</f>
        <v>1</v>
      </c>
    </row>
    <row r="161" spans="1:9" ht="14.5" x14ac:dyDescent="0.35">
      <c r="A161" t="s">
        <v>177</v>
      </c>
      <c r="B161" t="s">
        <v>14</v>
      </c>
      <c r="C161" t="s">
        <v>10</v>
      </c>
      <c r="D161" s="2">
        <v>46225</v>
      </c>
      <c r="E161">
        <v>180</v>
      </c>
      <c r="F161" s="3">
        <f t="shared" si="8"/>
        <v>46405</v>
      </c>
      <c r="G161" s="3">
        <f>F161-Calc!$B$3</f>
        <v>101</v>
      </c>
      <c r="H161" s="1" t="str">
        <f t="shared" si="9"/>
        <v>OK</v>
      </c>
      <c r="I161" s="1">
        <f>IF(G161&lt;0,-1,MIN(11,(YEAR(F161)-YEAR(Calc!$B$3))*12+MONTH(F161)-MONTH(Calc!$B$3)))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2026-10-09T09:13:48Z</dcterms:created>
  <dcterms:modified xsi:type="dcterms:W3CDTF">2026-10-09T09:14:45Z</dcterms:modified>
</cp:coreProperties>
</file>