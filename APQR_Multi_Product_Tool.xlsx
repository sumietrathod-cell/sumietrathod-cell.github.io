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2" documentId="8_{4EE257D0-C75E-4470-969D-1070E7459E72}" xr6:coauthVersionLast="47" xr6:coauthVersionMax="47" xr10:uidLastSave="{C9AD38BA-4CA2-4474-967A-5B187F304693}"/>
  <bookViews>
    <workbookView xWindow="-110" yWindow="-110" windowWidth="19420" windowHeight="10300" xr2:uid="{D3A1C0AC-AFC3-45E8-A524-273EE4C3B265}"/>
  </bookViews>
  <sheets>
    <sheet name="APQR_Summary" sheetId="4" r:id="rId1"/>
    <sheet name="Batch_Data" sheetId="1" r:id="rId2"/>
    <sheet name="Product_Setup" sheetId="2" r:id="rId3"/>
    <sheet name="Chart_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3" l="1" a="1"/>
  <c r="B61" i="3" s="1"/>
  <c r="G61" i="3" s="1"/>
  <c r="B60" i="3" a="1"/>
  <c r="B60" i="3" s="1"/>
  <c r="E60" i="3" s="1"/>
  <c r="B59" i="3" a="1"/>
  <c r="B59" i="3" s="1"/>
  <c r="C59" i="3" s="1"/>
  <c r="B58" i="3" a="1"/>
  <c r="B58" i="3" s="1"/>
  <c r="G58" i="3" s="1"/>
  <c r="B57" i="3" a="1"/>
  <c r="B57" i="3" s="1"/>
  <c r="G57" i="3" s="1"/>
  <c r="B56" i="3" a="1"/>
  <c r="B56" i="3" s="1"/>
  <c r="E56" i="3" s="1"/>
  <c r="B55" i="3" a="1"/>
  <c r="B55" i="3" s="1"/>
  <c r="C55" i="3" s="1"/>
  <c r="B54" i="3" a="1"/>
  <c r="B54" i="3" s="1"/>
  <c r="G54" i="3" s="1"/>
  <c r="B53" i="3" a="1"/>
  <c r="B53" i="3" s="1"/>
  <c r="G53" i="3" s="1"/>
  <c r="B52" i="3" a="1"/>
  <c r="B52" i="3" s="1"/>
  <c r="B51" i="3" a="1"/>
  <c r="B51" i="3" s="1"/>
  <c r="C51" i="3" s="1"/>
  <c r="B50" i="3" a="1"/>
  <c r="B50" i="3" s="1"/>
  <c r="G50" i="3" s="1"/>
  <c r="B49" i="3" a="1"/>
  <c r="B49" i="3" s="1"/>
  <c r="G49" i="3" s="1"/>
  <c r="B48" i="3" a="1"/>
  <c r="B48" i="3" s="1"/>
  <c r="B47" i="3" a="1"/>
  <c r="B47" i="3" s="1"/>
  <c r="C47" i="3" s="1"/>
  <c r="B46" i="3" a="1"/>
  <c r="B46" i="3" s="1"/>
  <c r="G46" i="3" s="1"/>
  <c r="B45" i="3" a="1"/>
  <c r="B45" i="3" s="1"/>
  <c r="G45" i="3" s="1"/>
  <c r="B44" i="3" a="1"/>
  <c r="B44" i="3" s="1"/>
  <c r="G43" i="3"/>
  <c r="B43" i="3" a="1"/>
  <c r="B43" i="3" s="1"/>
  <c r="C43" i="3" s="1"/>
  <c r="B42" i="3" a="1"/>
  <c r="B42" i="3" s="1"/>
  <c r="G42" i="3" s="1"/>
  <c r="B41" i="3" a="1"/>
  <c r="B41" i="3" s="1"/>
  <c r="G41" i="3" s="1"/>
  <c r="B40" i="3" a="1"/>
  <c r="B40" i="3" s="1"/>
  <c r="B39" i="3" a="1"/>
  <c r="B39" i="3" s="1"/>
  <c r="C39" i="3" s="1"/>
  <c r="D38" i="3"/>
  <c r="B38" i="3" a="1"/>
  <c r="B38" i="3" s="1"/>
  <c r="G38" i="3" s="1"/>
  <c r="B37" i="3" a="1"/>
  <c r="B37" i="3" s="1"/>
  <c r="G37" i="3" s="1"/>
  <c r="B36" i="3" a="1"/>
  <c r="B36" i="3" s="1"/>
  <c r="B35" i="3" a="1"/>
  <c r="B35" i="3" s="1"/>
  <c r="C35" i="3" s="1"/>
  <c r="B34" i="3" a="1"/>
  <c r="B34" i="3" s="1"/>
  <c r="G34" i="3" s="1"/>
  <c r="B33" i="3" a="1"/>
  <c r="B33" i="3" s="1"/>
  <c r="G33" i="3" s="1"/>
  <c r="B32" i="3" a="1"/>
  <c r="B32" i="3" s="1"/>
  <c r="B31" i="3" a="1"/>
  <c r="B31" i="3" s="1"/>
  <c r="C31" i="3" s="1"/>
  <c r="B30" i="3" a="1"/>
  <c r="B30" i="3" s="1"/>
  <c r="G30" i="3" s="1"/>
  <c r="B29" i="3" a="1"/>
  <c r="B29" i="3" s="1"/>
  <c r="G29" i="3" s="1"/>
  <c r="B28" i="3" a="1"/>
  <c r="B28" i="3" s="1"/>
  <c r="B27" i="3" a="1"/>
  <c r="B27" i="3" s="1"/>
  <c r="C27" i="3" s="1"/>
  <c r="B26" i="3" a="1"/>
  <c r="B26" i="3" s="1"/>
  <c r="G26" i="3" s="1"/>
  <c r="B25" i="3" a="1"/>
  <c r="B25" i="3" s="1"/>
  <c r="G25" i="3" s="1"/>
  <c r="B24" i="3" a="1"/>
  <c r="B24" i="3" s="1"/>
  <c r="B23" i="3" a="1"/>
  <c r="B23" i="3" s="1"/>
  <c r="C23" i="3" s="1"/>
  <c r="B22" i="3" a="1"/>
  <c r="B22" i="3" s="1"/>
  <c r="G22" i="3" s="1"/>
  <c r="B21" i="3" a="1"/>
  <c r="B21" i="3" s="1"/>
  <c r="G21" i="3" s="1"/>
  <c r="B20" i="3" a="1"/>
  <c r="B20" i="3" s="1"/>
  <c r="B19" i="3" a="1"/>
  <c r="B19" i="3" s="1"/>
  <c r="C19" i="3" s="1"/>
  <c r="B18" i="3" a="1"/>
  <c r="B18" i="3" s="1"/>
  <c r="G18" i="3" s="1"/>
  <c r="B17" i="3" a="1"/>
  <c r="B17" i="3" s="1"/>
  <c r="G17" i="3" s="1"/>
  <c r="B16" i="3" a="1"/>
  <c r="B16" i="3" s="1"/>
  <c r="B15" i="3" a="1"/>
  <c r="B15" i="3" s="1"/>
  <c r="C15" i="3" s="1"/>
  <c r="B14" i="3" a="1"/>
  <c r="B14" i="3" s="1"/>
  <c r="G14" i="3" s="1"/>
  <c r="B13" i="3" a="1"/>
  <c r="B13" i="3" s="1"/>
  <c r="G13" i="3" s="1"/>
  <c r="B12" i="3" a="1"/>
  <c r="B12" i="3" s="1"/>
  <c r="D11" i="3"/>
  <c r="B11" i="3" a="1"/>
  <c r="B11" i="3" s="1"/>
  <c r="C11" i="3" s="1"/>
  <c r="B10" i="3" a="1"/>
  <c r="B10" i="3" s="1"/>
  <c r="G10" i="3" s="1"/>
  <c r="B9" i="3" a="1"/>
  <c r="B9" i="3" s="1"/>
  <c r="G9" i="3" s="1"/>
  <c r="B8" i="3" a="1"/>
  <c r="B8" i="3" s="1"/>
  <c r="B7" i="3" a="1"/>
  <c r="B7" i="3" s="1"/>
  <c r="C7" i="3" s="1"/>
  <c r="D6" i="3"/>
  <c r="B6" i="3" a="1"/>
  <c r="B6" i="3" s="1"/>
  <c r="B5" i="3" a="1"/>
  <c r="B5" i="3" s="1"/>
  <c r="G5" i="3" s="1"/>
  <c r="B4" i="3" a="1"/>
  <c r="B4" i="3" s="1"/>
  <c r="B3" i="3" a="1"/>
  <c r="B3" i="3" s="1"/>
  <c r="C3" i="3" s="1"/>
  <c r="B2" i="3" a="1"/>
  <c r="B2" i="3" s="1"/>
  <c r="G2" i="3" s="1"/>
  <c r="C24" i="4"/>
  <c r="C23" i="4"/>
  <c r="C22" i="4"/>
  <c r="C21" i="4"/>
  <c r="C20" i="4"/>
  <c r="C17" i="4"/>
  <c r="C16" i="4"/>
  <c r="C14" i="4"/>
  <c r="C13" i="4"/>
  <c r="C11" i="4"/>
  <c r="C10" i="4"/>
  <c r="C9" i="4"/>
  <c r="C15" i="4" s="1"/>
  <c r="D15" i="4" s="1"/>
  <c r="C8" i="4"/>
  <c r="F11" i="3" s="1"/>
  <c r="C7" i="4"/>
  <c r="E50" i="3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E12" i="3" l="1"/>
  <c r="G47" i="3"/>
  <c r="F7" i="3"/>
  <c r="F43" i="3"/>
  <c r="E48" i="3"/>
  <c r="E44" i="3"/>
  <c r="D10" i="3"/>
  <c r="E52" i="3"/>
  <c r="D46" i="3"/>
  <c r="E8" i="3"/>
  <c r="D18" i="3"/>
  <c r="D54" i="3"/>
  <c r="D58" i="3"/>
  <c r="E4" i="3"/>
  <c r="D14" i="3"/>
  <c r="F19" i="3"/>
  <c r="D30" i="3"/>
  <c r="F35" i="3"/>
  <c r="D50" i="3"/>
  <c r="E54" i="3"/>
  <c r="E58" i="3"/>
  <c r="E28" i="3"/>
  <c r="D34" i="3"/>
  <c r="F39" i="3"/>
  <c r="E20" i="3"/>
  <c r="E36" i="3"/>
  <c r="D3" i="3"/>
  <c r="E24" i="3"/>
  <c r="F6" i="3"/>
  <c r="F15" i="3"/>
  <c r="D26" i="3"/>
  <c r="F31" i="3"/>
  <c r="D42" i="3"/>
  <c r="F51" i="3"/>
  <c r="F55" i="3"/>
  <c r="F59" i="3"/>
  <c r="E40" i="3"/>
  <c r="E16" i="3"/>
  <c r="E32" i="3"/>
  <c r="F47" i="3"/>
  <c r="G51" i="3"/>
  <c r="G55" i="3"/>
  <c r="G59" i="3"/>
  <c r="F23" i="3"/>
  <c r="F3" i="3"/>
  <c r="D2" i="3"/>
  <c r="D22" i="3"/>
  <c r="F27" i="3"/>
  <c r="F4" i="3"/>
  <c r="F12" i="3"/>
  <c r="D15" i="3"/>
  <c r="F16" i="3"/>
  <c r="D23" i="3"/>
  <c r="F24" i="3"/>
  <c r="D31" i="3"/>
  <c r="F32" i="3"/>
  <c r="D39" i="3"/>
  <c r="F40" i="3"/>
  <c r="D43" i="3"/>
  <c r="F44" i="3"/>
  <c r="D51" i="3"/>
  <c r="F52" i="3"/>
  <c r="D59" i="3"/>
  <c r="F60" i="3"/>
  <c r="D7" i="3"/>
  <c r="F8" i="3"/>
  <c r="D19" i="3"/>
  <c r="F20" i="3"/>
  <c r="D27" i="3"/>
  <c r="F28" i="3"/>
  <c r="D35" i="3"/>
  <c r="F36" i="3"/>
  <c r="D47" i="3"/>
  <c r="F48" i="3"/>
  <c r="D55" i="3"/>
  <c r="F56" i="3"/>
  <c r="C2" i="3"/>
  <c r="E3" i="3"/>
  <c r="G4" i="3"/>
  <c r="C6" i="3"/>
  <c r="E7" i="3"/>
  <c r="G8" i="3"/>
  <c r="C10" i="3"/>
  <c r="E11" i="3"/>
  <c r="G12" i="3"/>
  <c r="C14" i="3"/>
  <c r="E15" i="3"/>
  <c r="G16" i="3"/>
  <c r="C18" i="3"/>
  <c r="E19" i="3"/>
  <c r="G20" i="3"/>
  <c r="C22" i="3"/>
  <c r="E23" i="3"/>
  <c r="G24" i="3"/>
  <c r="C26" i="3"/>
  <c r="E27" i="3"/>
  <c r="G28" i="3"/>
  <c r="C30" i="3"/>
  <c r="E31" i="3"/>
  <c r="G32" i="3"/>
  <c r="C34" i="3"/>
  <c r="E35" i="3"/>
  <c r="G36" i="3"/>
  <c r="C38" i="3"/>
  <c r="E39" i="3"/>
  <c r="G40" i="3"/>
  <c r="C42" i="3"/>
  <c r="E43" i="3"/>
  <c r="G44" i="3"/>
  <c r="C46" i="3"/>
  <c r="E47" i="3"/>
  <c r="G48" i="3"/>
  <c r="C50" i="3"/>
  <c r="E51" i="3"/>
  <c r="G52" i="3"/>
  <c r="C54" i="3"/>
  <c r="E55" i="3"/>
  <c r="G56" i="3"/>
  <c r="C58" i="3"/>
  <c r="E59" i="3"/>
  <c r="G60" i="3"/>
  <c r="C12" i="4"/>
  <c r="D12" i="4" s="1"/>
  <c r="E2" i="3"/>
  <c r="G3" i="3"/>
  <c r="C5" i="3"/>
  <c r="E6" i="3"/>
  <c r="G7" i="3"/>
  <c r="C9" i="3"/>
  <c r="E10" i="3"/>
  <c r="G11" i="3"/>
  <c r="C13" i="3"/>
  <c r="E14" i="3"/>
  <c r="G15" i="3"/>
  <c r="C17" i="3"/>
  <c r="E18" i="3"/>
  <c r="G19" i="3"/>
  <c r="C21" i="3"/>
  <c r="E22" i="3"/>
  <c r="G23" i="3"/>
  <c r="C25" i="3"/>
  <c r="E26" i="3"/>
  <c r="G27" i="3"/>
  <c r="C29" i="3"/>
  <c r="E30" i="3"/>
  <c r="G31" i="3"/>
  <c r="C33" i="3"/>
  <c r="E34" i="3"/>
  <c r="G35" i="3"/>
  <c r="C37" i="3"/>
  <c r="E38" i="3"/>
  <c r="G39" i="3"/>
  <c r="C41" i="3"/>
  <c r="E42" i="3"/>
  <c r="C45" i="3"/>
  <c r="E46" i="3"/>
  <c r="C49" i="3"/>
  <c r="C53" i="3"/>
  <c r="C57" i="3"/>
  <c r="C61" i="3"/>
  <c r="F2" i="3"/>
  <c r="D5" i="3"/>
  <c r="D17" i="3"/>
  <c r="F18" i="3"/>
  <c r="D25" i="3"/>
  <c r="F26" i="3"/>
  <c r="D33" i="3"/>
  <c r="F34" i="3"/>
  <c r="D41" i="3"/>
  <c r="F42" i="3"/>
  <c r="D49" i="3"/>
  <c r="F50" i="3"/>
  <c r="D61" i="3"/>
  <c r="D9" i="3"/>
  <c r="F10" i="3"/>
  <c r="D13" i="3"/>
  <c r="F14" i="3"/>
  <c r="D21" i="3"/>
  <c r="F22" i="3"/>
  <c r="D29" i="3"/>
  <c r="F30" i="3"/>
  <c r="D37" i="3"/>
  <c r="F38" i="3"/>
  <c r="D45" i="3"/>
  <c r="F46" i="3"/>
  <c r="D53" i="3"/>
  <c r="F54" i="3"/>
  <c r="D57" i="3"/>
  <c r="F58" i="3"/>
  <c r="C4" i="3"/>
  <c r="E5" i="3"/>
  <c r="G6" i="3"/>
  <c r="C8" i="3"/>
  <c r="E9" i="3"/>
  <c r="C12" i="3"/>
  <c r="E13" i="3"/>
  <c r="C16" i="3"/>
  <c r="E17" i="3"/>
  <c r="C20" i="3"/>
  <c r="E21" i="3"/>
  <c r="C24" i="3"/>
  <c r="E25" i="3"/>
  <c r="C28" i="3"/>
  <c r="E29" i="3"/>
  <c r="C32" i="3"/>
  <c r="E33" i="3"/>
  <c r="C36" i="3"/>
  <c r="E37" i="3"/>
  <c r="C40" i="3"/>
  <c r="E41" i="3"/>
  <c r="C44" i="3"/>
  <c r="E45" i="3"/>
  <c r="C48" i="3"/>
  <c r="E49" i="3"/>
  <c r="C52" i="3"/>
  <c r="E53" i="3"/>
  <c r="C56" i="3"/>
  <c r="E57" i="3"/>
  <c r="C60" i="3"/>
  <c r="E61" i="3"/>
  <c r="D8" i="3"/>
  <c r="F9" i="3"/>
  <c r="D16" i="3"/>
  <c r="F17" i="3"/>
  <c r="D24" i="3"/>
  <c r="F25" i="3"/>
  <c r="D32" i="3"/>
  <c r="F33" i="3"/>
  <c r="D40" i="3"/>
  <c r="F41" i="3"/>
  <c r="D52" i="3"/>
  <c r="F53" i="3"/>
  <c r="D60" i="3"/>
  <c r="F61" i="3"/>
  <c r="D4" i="3"/>
  <c r="F5" i="3"/>
  <c r="D12" i="3"/>
  <c r="F13" i="3"/>
  <c r="D20" i="3"/>
  <c r="F21" i="3"/>
  <c r="D28" i="3"/>
  <c r="F29" i="3"/>
  <c r="D36" i="3"/>
  <c r="F37" i="3"/>
  <c r="D44" i="3"/>
  <c r="F45" i="3"/>
  <c r="D48" i="3"/>
  <c r="F49" i="3"/>
  <c r="D56" i="3"/>
  <c r="F57" i="3"/>
  <c r="C18" i="4" l="1"/>
  <c r="C19" i="4" s="1"/>
  <c r="D19" i="4" s="1"/>
  <c r="B2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<sst xmlns="http://schemas.openxmlformats.org/spreadsheetml/2006/main" count="741" uniqueCount="189">
  <si>
    <t>Product</t>
  </si>
  <si>
    <t>Batch No</t>
  </si>
  <si>
    <t>Mfg Date</t>
  </si>
  <si>
    <t>Batch Size (kg)</t>
  </si>
  <si>
    <t>Actual Yield (kg)</t>
  </si>
  <si>
    <t>Yield %</t>
  </si>
  <si>
    <t>Assay %</t>
  </si>
  <si>
    <t>Dissolution %</t>
  </si>
  <si>
    <t>Total Impurity %</t>
  </si>
  <si>
    <t>Deviation (Y/N)</t>
  </si>
  <si>
    <t>OOS (Y/N)</t>
  </si>
  <si>
    <t>Status</t>
  </si>
  <si>
    <t>Paracetamol 500mg Tablets</t>
  </si>
  <si>
    <t>PCM2501</t>
  </si>
  <si>
    <t>N</t>
  </si>
  <si>
    <t>Released</t>
  </si>
  <si>
    <t>PCM2502</t>
  </si>
  <si>
    <t>PCM2503</t>
  </si>
  <si>
    <t>Y</t>
  </si>
  <si>
    <t>PCM2504</t>
  </si>
  <si>
    <t>PCM2505</t>
  </si>
  <si>
    <t>PCM2506</t>
  </si>
  <si>
    <t>PCM2507</t>
  </si>
  <si>
    <t>PCM2508</t>
  </si>
  <si>
    <t>PCM2509</t>
  </si>
  <si>
    <t>PCM2510</t>
  </si>
  <si>
    <t>PCM2511</t>
  </si>
  <si>
    <t>PCM2512</t>
  </si>
  <si>
    <t>PCM2513</t>
  </si>
  <si>
    <t>PCM2514</t>
  </si>
  <si>
    <t>PCM2515</t>
  </si>
  <si>
    <t>PCM2516</t>
  </si>
  <si>
    <t>PCM2517</t>
  </si>
  <si>
    <t>PCM2518</t>
  </si>
  <si>
    <t>PCM2519</t>
  </si>
  <si>
    <t>PCM2520</t>
  </si>
  <si>
    <t>PCM2521</t>
  </si>
  <si>
    <t>PCM2522</t>
  </si>
  <si>
    <t>PCM2523</t>
  </si>
  <si>
    <t>PCM2524</t>
  </si>
  <si>
    <t>PCM2525</t>
  </si>
  <si>
    <t>PCM2526</t>
  </si>
  <si>
    <t>PCM2527</t>
  </si>
  <si>
    <t>PCM2528</t>
  </si>
  <si>
    <t>PCM2529</t>
  </si>
  <si>
    <t>PCM2530</t>
  </si>
  <si>
    <t>PCM2531</t>
  </si>
  <si>
    <t>PCM2532</t>
  </si>
  <si>
    <t>PCM2533</t>
  </si>
  <si>
    <t>PCM2534</t>
  </si>
  <si>
    <t>PCM2535</t>
  </si>
  <si>
    <t>PCM2536</t>
  </si>
  <si>
    <t>PCM2537</t>
  </si>
  <si>
    <t>PCM2538</t>
  </si>
  <si>
    <t>PCM2539</t>
  </si>
  <si>
    <t>PCM2540</t>
  </si>
  <si>
    <t>PCM2541</t>
  </si>
  <si>
    <t>PCM2542</t>
  </si>
  <si>
    <t>PCM2543</t>
  </si>
  <si>
    <t>PCM2544</t>
  </si>
  <si>
    <t>PCM2545</t>
  </si>
  <si>
    <t>PCM2546</t>
  </si>
  <si>
    <t>PCM2547</t>
  </si>
  <si>
    <t>PCM2548</t>
  </si>
  <si>
    <t>PCM2549</t>
  </si>
  <si>
    <t>PCM2550</t>
  </si>
  <si>
    <t>PCM2551</t>
  </si>
  <si>
    <t>PCM2552</t>
  </si>
  <si>
    <t>Amoxicillin 250mg Capsules</t>
  </si>
  <si>
    <t>AMX2501</t>
  </si>
  <si>
    <t>AMX2502</t>
  </si>
  <si>
    <t>AMX2503</t>
  </si>
  <si>
    <t>AMX2504</t>
  </si>
  <si>
    <t>AMX2505</t>
  </si>
  <si>
    <t>AMX2506</t>
  </si>
  <si>
    <t>AMX2507</t>
  </si>
  <si>
    <t>AMX2508</t>
  </si>
  <si>
    <t>AMX2509</t>
  </si>
  <si>
    <t>AMX2510</t>
  </si>
  <si>
    <t>AMX2511</t>
  </si>
  <si>
    <t>AMX2512</t>
  </si>
  <si>
    <t>AMX2513</t>
  </si>
  <si>
    <t>AMX2514</t>
  </si>
  <si>
    <t>AMX2515</t>
  </si>
  <si>
    <t>AMX2516</t>
  </si>
  <si>
    <t>AMX2517</t>
  </si>
  <si>
    <t>AMX2518</t>
  </si>
  <si>
    <t>AMX2519</t>
  </si>
  <si>
    <t>AMX2520</t>
  </si>
  <si>
    <t>AMX2521</t>
  </si>
  <si>
    <t>AMX2522</t>
  </si>
  <si>
    <t>AMX2523</t>
  </si>
  <si>
    <t>AMX2524</t>
  </si>
  <si>
    <t>AMX2525</t>
  </si>
  <si>
    <t>AMX2526</t>
  </si>
  <si>
    <t>AMX2527</t>
  </si>
  <si>
    <t>AMX2528</t>
  </si>
  <si>
    <t>AMX2529</t>
  </si>
  <si>
    <t>AMX2530</t>
  </si>
  <si>
    <t>AMX2531</t>
  </si>
  <si>
    <t>AMX2532</t>
  </si>
  <si>
    <t>AMX2533</t>
  </si>
  <si>
    <t>AMX2534</t>
  </si>
  <si>
    <t>AMX2535</t>
  </si>
  <si>
    <t>AMX2536</t>
  </si>
  <si>
    <t>AMX2537</t>
  </si>
  <si>
    <t>AMX2538</t>
  </si>
  <si>
    <t>AMX2539</t>
  </si>
  <si>
    <t>AMX2540</t>
  </si>
  <si>
    <t>Metformin 500mg Tablets</t>
  </si>
  <si>
    <t>MET2501</t>
  </si>
  <si>
    <t>MET2502</t>
  </si>
  <si>
    <t>MET2503</t>
  </si>
  <si>
    <t>MET2504</t>
  </si>
  <si>
    <t>MET2505</t>
  </si>
  <si>
    <t>MET2506</t>
  </si>
  <si>
    <t>MET2507</t>
  </si>
  <si>
    <t>MET2508</t>
  </si>
  <si>
    <t>MET2509</t>
  </si>
  <si>
    <t>MET2510</t>
  </si>
  <si>
    <t>MET2511</t>
  </si>
  <si>
    <t>MET2512</t>
  </si>
  <si>
    <t>MET2513</t>
  </si>
  <si>
    <t>MET2514</t>
  </si>
  <si>
    <t>MET2515</t>
  </si>
  <si>
    <t>MET2516</t>
  </si>
  <si>
    <t>MET2517</t>
  </si>
  <si>
    <t>MET2518</t>
  </si>
  <si>
    <t>MET2519</t>
  </si>
  <si>
    <t>MET2520</t>
  </si>
  <si>
    <t>MET2521</t>
  </si>
  <si>
    <t>MET2522</t>
  </si>
  <si>
    <t>MET2523</t>
  </si>
  <si>
    <t>MET2524</t>
  </si>
  <si>
    <t>MET2525</t>
  </si>
  <si>
    <t>MET2526</t>
  </si>
  <si>
    <t>MET2527</t>
  </si>
  <si>
    <t>MET2528</t>
  </si>
  <si>
    <t>MET2529</t>
  </si>
  <si>
    <t>MET2530</t>
  </si>
  <si>
    <t>MET2531</t>
  </si>
  <si>
    <t>MET2532</t>
  </si>
  <si>
    <t>MET2533</t>
  </si>
  <si>
    <t>MET2534</t>
  </si>
  <si>
    <t>MET2535</t>
  </si>
  <si>
    <t>MET2536</t>
  </si>
  <si>
    <t>MET2537</t>
  </si>
  <si>
    <t>MET2538</t>
  </si>
  <si>
    <t>MET2539</t>
  </si>
  <si>
    <t>MET2540</t>
  </si>
  <si>
    <t>MET2541</t>
  </si>
  <si>
    <t>MET2542</t>
  </si>
  <si>
    <t>MET2543</t>
  </si>
  <si>
    <t>MET2544</t>
  </si>
  <si>
    <t>MET2545</t>
  </si>
  <si>
    <t>Assay LSL</t>
  </si>
  <si>
    <t>Assay USL</t>
  </si>
  <si>
    <t>Customer complaints</t>
  </si>
  <si>
    <t>Change controls</t>
  </si>
  <si>
    <t>CAPA opened</t>
  </si>
  <si>
    <t>To add a product: type a new row above, then add its batches in Batch_Data (same product name).</t>
  </si>
  <si>
    <t>k</t>
  </si>
  <si>
    <t>Row in data</t>
  </si>
  <si>
    <t>Batch</t>
  </si>
  <si>
    <t>LSL</t>
  </si>
  <si>
    <t>USL</t>
  </si>
  <si>
    <t>This sheet feeds the charts. Do not edit.</t>
  </si>
  <si>
    <t>ANNUAL PRODUCT QUALITY REVIEW (APQR) - MULTI-PRODUCT SAMPLE TOOL</t>
  </si>
  <si>
    <t>SELECT PRODUCT &gt;</t>
  </si>
  <si>
    <t>Review period: Jan 2025 - Dec 2025 (made-up sample data)</t>
  </si>
  <si>
    <t>Parameter</t>
  </si>
  <si>
    <t>Value</t>
  </si>
  <si>
    <t>Comment</t>
  </si>
  <si>
    <t>Assay LSL (spec)</t>
  </si>
  <si>
    <t>Assay USL (spec)</t>
  </si>
  <si>
    <t>Batches manufactured</t>
  </si>
  <si>
    <t>Batches released</t>
  </si>
  <si>
    <t>Batches rejected</t>
  </si>
  <si>
    <t>Batch release rate %</t>
  </si>
  <si>
    <t>Average yield %</t>
  </si>
  <si>
    <t>Batches with deviation</t>
  </si>
  <si>
    <t>Deviation rate %</t>
  </si>
  <si>
    <t>OOS results</t>
  </si>
  <si>
    <t>Assay mean %</t>
  </si>
  <si>
    <t>Assay std deviation</t>
  </si>
  <si>
    <t>Assay Cpk</t>
  </si>
  <si>
    <t>Average dissolution %</t>
  </si>
  <si>
    <t>Average total impurity %</t>
  </si>
  <si>
    <t>SAMPLE, made-up data. Change the product in the yellow cell; table and charts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</si>
</sst>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m/yyyy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9"/>
      <color rgb="FF6E6E6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65A5A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CDE1E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165A5A"/>
      </left>
      <right style="thin">
        <color rgb="FF165A5A"/>
      </right>
      <top style="thin">
        <color rgb="FF165A5A"/>
      </top>
      <bottom style="thin">
        <color rgb="FF165A5A"/>
      </bottom>
      <diagonal/>
    </border>
    <border>
      <left style="thin">
        <color rgb="FFCDE1E1"/>
      </left>
      <right style="thin">
        <color rgb="FFCDE1E1"/>
      </right>
      <top style="thin">
        <color rgb="FFCDE1E1"/>
      </top>
      <bottom style="thin">
        <color rgb="FFCDE1E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1" fillId="4" borderId="0" xfId="0" applyFont="1" applyFill="1"/>
    <xf numFmtId="0" fontId="0" fillId="5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5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3" fillId="5" borderId="0" xfId="0" applyFont="1" applyFill="1"/>
    <xf numFmtId="0" fontId="1" fillId="4" borderId="2" xfId="0" applyFont="1" applyFill="1" applyBorder="1"/>
    <xf numFmtId="0" fontId="0" fillId="5" borderId="2" xfId="0" applyFill="1" applyBorder="1"/>
    <xf numFmtId="164" fontId="1" fillId="5" borderId="2" xfId="0" applyNumberFormat="1" applyFont="1" applyFill="1" applyBorder="1" applyAlignment="1">
      <alignment horizontal="center"/>
    </xf>
    <xf numFmtId="1" fontId="1" fillId="5" borderId="2" xfId="0" applyNumberFormat="1" applyFont="1" applyFill="1" applyBorder="1" applyAlignment="1">
      <alignment horizontal="center"/>
    </xf>
    <xf numFmtId="166" fontId="1" fillId="5" borderId="2" xfId="0" applyNumberFormat="1" applyFon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Assay % per Batch vs spec limits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Assay %</c:v>
          </c:tx>
          <c:spPr>
            <a:ln>
              <a:solidFill>
                <a:srgbClr val="167878"/>
              </a:solidFill>
            </a:ln>
          </c:spPr>
          <c:marker>
            <c:symbol val="none"/>
          </c:marker>
          <c:cat>
            <c:strRef>
              <c:f>Chart_Data!$C$2:$C$61</c:f>
              <c:strCache>
                <c:ptCount val="52"/>
                <c:pt idx="0">
                  <c:v>PCM2501</c:v>
                </c:pt>
                <c:pt idx="1">
                  <c:v>PCM2502</c:v>
                </c:pt>
                <c:pt idx="2">
                  <c:v>PCM2503</c:v>
                </c:pt>
                <c:pt idx="3">
                  <c:v>PCM2504</c:v>
                </c:pt>
                <c:pt idx="4">
                  <c:v>PCM2505</c:v>
                </c:pt>
                <c:pt idx="5">
                  <c:v>PCM2506</c:v>
                </c:pt>
                <c:pt idx="6">
                  <c:v>PCM2507</c:v>
                </c:pt>
                <c:pt idx="7">
                  <c:v>PCM2508</c:v>
                </c:pt>
                <c:pt idx="8">
                  <c:v>PCM2509</c:v>
                </c:pt>
                <c:pt idx="9">
                  <c:v>PCM2510</c:v>
                </c:pt>
                <c:pt idx="10">
                  <c:v>PCM2511</c:v>
                </c:pt>
                <c:pt idx="11">
                  <c:v>PCM2512</c:v>
                </c:pt>
                <c:pt idx="12">
                  <c:v>PCM2513</c:v>
                </c:pt>
                <c:pt idx="13">
                  <c:v>PCM2514</c:v>
                </c:pt>
                <c:pt idx="14">
                  <c:v>PCM2515</c:v>
                </c:pt>
                <c:pt idx="15">
                  <c:v>PCM2516</c:v>
                </c:pt>
                <c:pt idx="16">
                  <c:v>PCM2517</c:v>
                </c:pt>
                <c:pt idx="17">
                  <c:v>PCM2518</c:v>
                </c:pt>
                <c:pt idx="18">
                  <c:v>PCM2519</c:v>
                </c:pt>
                <c:pt idx="19">
                  <c:v>PCM2520</c:v>
                </c:pt>
                <c:pt idx="20">
                  <c:v>PCM2521</c:v>
                </c:pt>
                <c:pt idx="21">
                  <c:v>PCM2522</c:v>
                </c:pt>
                <c:pt idx="22">
                  <c:v>PCM2523</c:v>
                </c:pt>
                <c:pt idx="23">
                  <c:v>PCM2524</c:v>
                </c:pt>
                <c:pt idx="24">
                  <c:v>PCM2525</c:v>
                </c:pt>
                <c:pt idx="25">
                  <c:v>PCM2526</c:v>
                </c:pt>
                <c:pt idx="26">
                  <c:v>PCM2527</c:v>
                </c:pt>
                <c:pt idx="27">
                  <c:v>PCM2528</c:v>
                </c:pt>
                <c:pt idx="28">
                  <c:v>PCM2529</c:v>
                </c:pt>
                <c:pt idx="29">
                  <c:v>PCM2530</c:v>
                </c:pt>
                <c:pt idx="30">
                  <c:v>PCM2531</c:v>
                </c:pt>
                <c:pt idx="31">
                  <c:v>PCM2532</c:v>
                </c:pt>
                <c:pt idx="32">
                  <c:v>PCM2533</c:v>
                </c:pt>
                <c:pt idx="33">
                  <c:v>PCM2534</c:v>
                </c:pt>
                <c:pt idx="34">
                  <c:v>PCM2535</c:v>
                </c:pt>
                <c:pt idx="35">
                  <c:v>PCM2536</c:v>
                </c:pt>
                <c:pt idx="36">
                  <c:v>PCM2537</c:v>
                </c:pt>
                <c:pt idx="37">
                  <c:v>PCM2538</c:v>
                </c:pt>
                <c:pt idx="38">
                  <c:v>PCM2539</c:v>
                </c:pt>
                <c:pt idx="39">
                  <c:v>PCM2540</c:v>
                </c:pt>
                <c:pt idx="40">
                  <c:v>PCM2541</c:v>
                </c:pt>
                <c:pt idx="41">
                  <c:v>PCM2542</c:v>
                </c:pt>
                <c:pt idx="42">
                  <c:v>PCM2543</c:v>
                </c:pt>
                <c:pt idx="43">
                  <c:v>PCM2544</c:v>
                </c:pt>
                <c:pt idx="44">
                  <c:v>PCM2545</c:v>
                </c:pt>
                <c:pt idx="45">
                  <c:v>PCM2546</c:v>
                </c:pt>
                <c:pt idx="46">
                  <c:v>PCM2547</c:v>
                </c:pt>
                <c:pt idx="47">
                  <c:v>PCM2548</c:v>
                </c:pt>
                <c:pt idx="48">
                  <c:v>PCM2549</c:v>
                </c:pt>
                <c:pt idx="49">
                  <c:v>PCM2550</c:v>
                </c:pt>
                <c:pt idx="50">
                  <c:v>PCM2551</c:v>
                </c:pt>
                <c:pt idx="51">
                  <c:v>PCM2552</c:v>
                </c:pt>
              </c:strCache>
            </c:strRef>
          </c:cat>
          <c:val>
            <c:numRef>
              <c:f>Chart_Data!$D$2:$D$61</c:f>
              <c:numCache>
                <c:formatCode>General</c:formatCode>
                <c:ptCount val="60"/>
                <c:pt idx="0">
                  <c:v>98.3</c:v>
                </c:pt>
                <c:pt idx="1">
                  <c:v>98.8</c:v>
                </c:pt>
                <c:pt idx="2">
                  <c:v>100.5</c:v>
                </c:pt>
                <c:pt idx="3">
                  <c:v>99.4</c:v>
                </c:pt>
                <c:pt idx="4">
                  <c:v>99</c:v>
                </c:pt>
                <c:pt idx="5">
                  <c:v>100.1</c:v>
                </c:pt>
                <c:pt idx="6">
                  <c:v>101.3</c:v>
                </c:pt>
                <c:pt idx="7">
                  <c:v>100.1</c:v>
                </c:pt>
                <c:pt idx="8">
                  <c:v>100.9</c:v>
                </c:pt>
                <c:pt idx="9">
                  <c:v>100.4</c:v>
                </c:pt>
                <c:pt idx="10">
                  <c:v>100.6</c:v>
                </c:pt>
                <c:pt idx="11">
                  <c:v>101.1</c:v>
                </c:pt>
                <c:pt idx="12">
                  <c:v>99.1</c:v>
                </c:pt>
                <c:pt idx="13">
                  <c:v>100.8</c:v>
                </c:pt>
                <c:pt idx="14">
                  <c:v>101.7</c:v>
                </c:pt>
                <c:pt idx="15">
                  <c:v>101.3</c:v>
                </c:pt>
                <c:pt idx="16">
                  <c:v>100.3</c:v>
                </c:pt>
                <c:pt idx="17">
                  <c:v>102</c:v>
                </c:pt>
                <c:pt idx="18">
                  <c:v>98.8</c:v>
                </c:pt>
                <c:pt idx="19">
                  <c:v>99.9</c:v>
                </c:pt>
                <c:pt idx="20">
                  <c:v>98.9</c:v>
                </c:pt>
                <c:pt idx="21">
                  <c:v>100.4</c:v>
                </c:pt>
                <c:pt idx="22">
                  <c:v>102.2</c:v>
                </c:pt>
                <c:pt idx="23">
                  <c:v>101.4</c:v>
                </c:pt>
                <c:pt idx="24">
                  <c:v>100.5</c:v>
                </c:pt>
                <c:pt idx="25">
                  <c:v>101.9</c:v>
                </c:pt>
                <c:pt idx="26">
                  <c:v>101</c:v>
                </c:pt>
                <c:pt idx="27">
                  <c:v>101</c:v>
                </c:pt>
                <c:pt idx="28">
                  <c:v>99.5</c:v>
                </c:pt>
                <c:pt idx="29">
                  <c:v>98.4</c:v>
                </c:pt>
                <c:pt idx="30">
                  <c:v>100.7</c:v>
                </c:pt>
                <c:pt idx="31">
                  <c:v>101.3</c:v>
                </c:pt>
                <c:pt idx="32">
                  <c:v>98.6</c:v>
                </c:pt>
                <c:pt idx="33">
                  <c:v>99.2</c:v>
                </c:pt>
                <c:pt idx="34">
                  <c:v>99.3</c:v>
                </c:pt>
                <c:pt idx="35">
                  <c:v>97.5</c:v>
                </c:pt>
                <c:pt idx="36">
                  <c:v>100.4</c:v>
                </c:pt>
                <c:pt idx="37">
                  <c:v>100.6</c:v>
                </c:pt>
                <c:pt idx="38">
                  <c:v>101.2</c:v>
                </c:pt>
                <c:pt idx="39">
                  <c:v>102.4</c:v>
                </c:pt>
                <c:pt idx="40">
                  <c:v>99.9</c:v>
                </c:pt>
                <c:pt idx="41">
                  <c:v>102.1</c:v>
                </c:pt>
                <c:pt idx="42">
                  <c:v>102.4</c:v>
                </c:pt>
                <c:pt idx="43">
                  <c:v>101.4</c:v>
                </c:pt>
                <c:pt idx="44">
                  <c:v>101.4</c:v>
                </c:pt>
                <c:pt idx="45">
                  <c:v>102.4</c:v>
                </c:pt>
                <c:pt idx="46">
                  <c:v>100.5</c:v>
                </c:pt>
                <c:pt idx="47">
                  <c:v>99</c:v>
                </c:pt>
                <c:pt idx="48">
                  <c:v>97.8</c:v>
                </c:pt>
                <c:pt idx="49">
                  <c:v>101.6</c:v>
                </c:pt>
                <c:pt idx="50">
                  <c:v>102.4</c:v>
                </c:pt>
                <c:pt idx="51">
                  <c:v>102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EF-4299-9D48-AF0CCDAF59EE}"/>
            </c:ext>
          </c:extLst>
        </c:ser>
        <c:ser>
          <c:idx val="1"/>
          <c:order val="1"/>
          <c:tx>
            <c:v>LSL</c:v>
          </c:tx>
          <c:spPr>
            <a:ln>
              <a:solidFill>
                <a:srgbClr val="C0392B"/>
              </a:solidFill>
            </a:ln>
          </c:spPr>
          <c:marker>
            <c:symbol val="none"/>
          </c:marker>
          <c:val>
            <c:numRef>
              <c:f>Chart_Data!$E$2:$E$61</c:f>
              <c:numCache>
                <c:formatCode>General</c:formatCode>
                <c:ptCount val="60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95</c:v>
                </c:pt>
                <c:pt idx="50">
                  <c:v>95</c:v>
                </c:pt>
                <c:pt idx="51">
                  <c:v>95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EF-4299-9D48-AF0CCDAF59EE}"/>
            </c:ext>
          </c:extLst>
        </c:ser>
        <c:ser>
          <c:idx val="2"/>
          <c:order val="2"/>
          <c:tx>
            <c:v>USL</c:v>
          </c:tx>
          <c:spPr>
            <a:ln>
              <a:solidFill>
                <a:srgbClr val="C0392B"/>
              </a:solidFill>
            </a:ln>
          </c:spPr>
          <c:marker>
            <c:symbol val="none"/>
          </c:marker>
          <c:val>
            <c:numRef>
              <c:f>Chart_Data!$F$2:$F$61</c:f>
              <c:numCache>
                <c:formatCode>General</c:formatCode>
                <c:ptCount val="60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  <c:pt idx="27">
                  <c:v>105</c:v>
                </c:pt>
                <c:pt idx="28">
                  <c:v>105</c:v>
                </c:pt>
                <c:pt idx="29">
                  <c:v>105</c:v>
                </c:pt>
                <c:pt idx="30">
                  <c:v>105</c:v>
                </c:pt>
                <c:pt idx="31">
                  <c:v>105</c:v>
                </c:pt>
                <c:pt idx="32">
                  <c:v>105</c:v>
                </c:pt>
                <c:pt idx="33">
                  <c:v>105</c:v>
                </c:pt>
                <c:pt idx="34">
                  <c:v>105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105</c:v>
                </c:pt>
                <c:pt idx="42">
                  <c:v>105</c:v>
                </c:pt>
                <c:pt idx="43">
                  <c:v>105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105</c:v>
                </c:pt>
                <c:pt idx="49">
                  <c:v>105</c:v>
                </c:pt>
                <c:pt idx="50">
                  <c:v>105</c:v>
                </c:pt>
                <c:pt idx="51">
                  <c:v>105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EF-4299-9D48-AF0CCDAF5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228815"/>
        <c:axId val="809358511"/>
      </c:lineChart>
      <c:catAx>
        <c:axId val="89022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9358511"/>
        <c:crosses val="autoZero"/>
        <c:auto val="1"/>
        <c:lblAlgn val="ctr"/>
        <c:lblOffset val="100"/>
        <c:tickLblSkip val="6"/>
        <c:noMultiLvlLbl val="0"/>
      </c:catAx>
      <c:valAx>
        <c:axId val="809358511"/>
        <c:scaling>
          <c:orientation val="minMax"/>
          <c:max val="116"/>
          <c:min val="8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0228815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Yield % per Batch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Yield %</c:v>
          </c:tx>
          <c:spPr>
            <a:ln>
              <a:solidFill>
                <a:srgbClr val="E67E22"/>
              </a:solidFill>
            </a:ln>
          </c:spPr>
          <c:marker>
            <c:symbol val="none"/>
          </c:marker>
          <c:cat>
            <c:strRef>
              <c:f>Chart_Data!$C$2:$C$61</c:f>
              <c:strCache>
                <c:ptCount val="52"/>
                <c:pt idx="0">
                  <c:v>PCM2501</c:v>
                </c:pt>
                <c:pt idx="1">
                  <c:v>PCM2502</c:v>
                </c:pt>
                <c:pt idx="2">
                  <c:v>PCM2503</c:v>
                </c:pt>
                <c:pt idx="3">
                  <c:v>PCM2504</c:v>
                </c:pt>
                <c:pt idx="4">
                  <c:v>PCM2505</c:v>
                </c:pt>
                <c:pt idx="5">
                  <c:v>PCM2506</c:v>
                </c:pt>
                <c:pt idx="6">
                  <c:v>PCM2507</c:v>
                </c:pt>
                <c:pt idx="7">
                  <c:v>PCM2508</c:v>
                </c:pt>
                <c:pt idx="8">
                  <c:v>PCM2509</c:v>
                </c:pt>
                <c:pt idx="9">
                  <c:v>PCM2510</c:v>
                </c:pt>
                <c:pt idx="10">
                  <c:v>PCM2511</c:v>
                </c:pt>
                <c:pt idx="11">
                  <c:v>PCM2512</c:v>
                </c:pt>
                <c:pt idx="12">
                  <c:v>PCM2513</c:v>
                </c:pt>
                <c:pt idx="13">
                  <c:v>PCM2514</c:v>
                </c:pt>
                <c:pt idx="14">
                  <c:v>PCM2515</c:v>
                </c:pt>
                <c:pt idx="15">
                  <c:v>PCM2516</c:v>
                </c:pt>
                <c:pt idx="16">
                  <c:v>PCM2517</c:v>
                </c:pt>
                <c:pt idx="17">
                  <c:v>PCM2518</c:v>
                </c:pt>
                <c:pt idx="18">
                  <c:v>PCM2519</c:v>
                </c:pt>
                <c:pt idx="19">
                  <c:v>PCM2520</c:v>
                </c:pt>
                <c:pt idx="20">
                  <c:v>PCM2521</c:v>
                </c:pt>
                <c:pt idx="21">
                  <c:v>PCM2522</c:v>
                </c:pt>
                <c:pt idx="22">
                  <c:v>PCM2523</c:v>
                </c:pt>
                <c:pt idx="23">
                  <c:v>PCM2524</c:v>
                </c:pt>
                <c:pt idx="24">
                  <c:v>PCM2525</c:v>
                </c:pt>
                <c:pt idx="25">
                  <c:v>PCM2526</c:v>
                </c:pt>
                <c:pt idx="26">
                  <c:v>PCM2527</c:v>
                </c:pt>
                <c:pt idx="27">
                  <c:v>PCM2528</c:v>
                </c:pt>
                <c:pt idx="28">
                  <c:v>PCM2529</c:v>
                </c:pt>
                <c:pt idx="29">
                  <c:v>PCM2530</c:v>
                </c:pt>
                <c:pt idx="30">
                  <c:v>PCM2531</c:v>
                </c:pt>
                <c:pt idx="31">
                  <c:v>PCM2532</c:v>
                </c:pt>
                <c:pt idx="32">
                  <c:v>PCM2533</c:v>
                </c:pt>
                <c:pt idx="33">
                  <c:v>PCM2534</c:v>
                </c:pt>
                <c:pt idx="34">
                  <c:v>PCM2535</c:v>
                </c:pt>
                <c:pt idx="35">
                  <c:v>PCM2536</c:v>
                </c:pt>
                <c:pt idx="36">
                  <c:v>PCM2537</c:v>
                </c:pt>
                <c:pt idx="37">
                  <c:v>PCM2538</c:v>
                </c:pt>
                <c:pt idx="38">
                  <c:v>PCM2539</c:v>
                </c:pt>
                <c:pt idx="39">
                  <c:v>PCM2540</c:v>
                </c:pt>
                <c:pt idx="40">
                  <c:v>PCM2541</c:v>
                </c:pt>
                <c:pt idx="41">
                  <c:v>PCM2542</c:v>
                </c:pt>
                <c:pt idx="42">
                  <c:v>PCM2543</c:v>
                </c:pt>
                <c:pt idx="43">
                  <c:v>PCM2544</c:v>
                </c:pt>
                <c:pt idx="44">
                  <c:v>PCM2545</c:v>
                </c:pt>
                <c:pt idx="45">
                  <c:v>PCM2546</c:v>
                </c:pt>
                <c:pt idx="46">
                  <c:v>PCM2547</c:v>
                </c:pt>
                <c:pt idx="47">
                  <c:v>PCM2548</c:v>
                </c:pt>
                <c:pt idx="48">
                  <c:v>PCM2549</c:v>
                </c:pt>
                <c:pt idx="49">
                  <c:v>PCM2550</c:v>
                </c:pt>
                <c:pt idx="50">
                  <c:v>PCM2551</c:v>
                </c:pt>
                <c:pt idx="51">
                  <c:v>PCM2552</c:v>
                </c:pt>
              </c:strCache>
            </c:strRef>
          </c:cat>
          <c:val>
            <c:numRef>
              <c:f>Chart_Data!$G$2:$G$61</c:f>
              <c:numCache>
                <c:formatCode>General</c:formatCode>
                <c:ptCount val="60"/>
                <c:pt idx="0">
                  <c:v>94.5</c:v>
                </c:pt>
                <c:pt idx="1">
                  <c:v>94.5</c:v>
                </c:pt>
                <c:pt idx="2">
                  <c:v>99</c:v>
                </c:pt>
                <c:pt idx="3">
                  <c:v>99.6</c:v>
                </c:pt>
                <c:pt idx="4">
                  <c:v>94.7</c:v>
                </c:pt>
                <c:pt idx="5">
                  <c:v>99.1</c:v>
                </c:pt>
                <c:pt idx="6">
                  <c:v>97</c:v>
                </c:pt>
                <c:pt idx="7">
                  <c:v>95.4</c:v>
                </c:pt>
                <c:pt idx="8">
                  <c:v>100.70000000000002</c:v>
                </c:pt>
                <c:pt idx="9">
                  <c:v>95.6</c:v>
                </c:pt>
                <c:pt idx="10">
                  <c:v>95.5</c:v>
                </c:pt>
                <c:pt idx="11">
                  <c:v>99.7</c:v>
                </c:pt>
                <c:pt idx="12">
                  <c:v>99.4</c:v>
                </c:pt>
                <c:pt idx="13">
                  <c:v>95.3</c:v>
                </c:pt>
                <c:pt idx="14">
                  <c:v>94.7</c:v>
                </c:pt>
                <c:pt idx="15">
                  <c:v>98.2</c:v>
                </c:pt>
                <c:pt idx="16">
                  <c:v>94.3</c:v>
                </c:pt>
                <c:pt idx="17">
                  <c:v>94.4</c:v>
                </c:pt>
                <c:pt idx="18">
                  <c:v>95.1</c:v>
                </c:pt>
                <c:pt idx="19">
                  <c:v>99.4</c:v>
                </c:pt>
                <c:pt idx="20">
                  <c:v>94.5</c:v>
                </c:pt>
                <c:pt idx="21">
                  <c:v>98.5</c:v>
                </c:pt>
                <c:pt idx="22">
                  <c:v>95.8</c:v>
                </c:pt>
                <c:pt idx="23">
                  <c:v>96.5</c:v>
                </c:pt>
                <c:pt idx="24">
                  <c:v>99.1</c:v>
                </c:pt>
                <c:pt idx="25">
                  <c:v>100.6</c:v>
                </c:pt>
                <c:pt idx="26">
                  <c:v>99.4</c:v>
                </c:pt>
                <c:pt idx="27">
                  <c:v>100.70000000000002</c:v>
                </c:pt>
                <c:pt idx="28">
                  <c:v>97.3</c:v>
                </c:pt>
                <c:pt idx="29">
                  <c:v>99.9</c:v>
                </c:pt>
                <c:pt idx="30">
                  <c:v>96.1</c:v>
                </c:pt>
                <c:pt idx="31">
                  <c:v>96.9</c:v>
                </c:pt>
                <c:pt idx="32">
                  <c:v>97.3</c:v>
                </c:pt>
                <c:pt idx="33">
                  <c:v>97</c:v>
                </c:pt>
                <c:pt idx="34">
                  <c:v>94.9</c:v>
                </c:pt>
                <c:pt idx="35">
                  <c:v>96.2</c:v>
                </c:pt>
                <c:pt idx="36">
                  <c:v>95.1</c:v>
                </c:pt>
                <c:pt idx="37">
                  <c:v>94</c:v>
                </c:pt>
                <c:pt idx="38">
                  <c:v>95.5</c:v>
                </c:pt>
                <c:pt idx="39">
                  <c:v>97</c:v>
                </c:pt>
                <c:pt idx="40">
                  <c:v>96.3</c:v>
                </c:pt>
                <c:pt idx="41">
                  <c:v>96.1</c:v>
                </c:pt>
                <c:pt idx="42">
                  <c:v>99</c:v>
                </c:pt>
                <c:pt idx="43">
                  <c:v>95.1</c:v>
                </c:pt>
                <c:pt idx="44">
                  <c:v>99.3</c:v>
                </c:pt>
                <c:pt idx="45">
                  <c:v>100.2</c:v>
                </c:pt>
                <c:pt idx="46">
                  <c:v>98.9</c:v>
                </c:pt>
                <c:pt idx="47">
                  <c:v>95.7</c:v>
                </c:pt>
                <c:pt idx="48">
                  <c:v>100.4</c:v>
                </c:pt>
                <c:pt idx="49">
                  <c:v>97.6</c:v>
                </c:pt>
                <c:pt idx="50">
                  <c:v>97.5</c:v>
                </c:pt>
                <c:pt idx="51">
                  <c:v>98.5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7-4F7A-BED9-0A0B46F16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89615"/>
        <c:axId val="809416591"/>
      </c:lineChart>
      <c:catAx>
        <c:axId val="90798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9416591"/>
        <c:crosses val="autoZero"/>
        <c:auto val="1"/>
        <c:lblAlgn val="ctr"/>
        <c:lblOffset val="100"/>
        <c:tickLblSkip val="6"/>
        <c:noMultiLvlLbl val="0"/>
      </c:catAx>
      <c:valAx>
        <c:axId val="809416591"/>
        <c:scaling>
          <c:orientation val="minMax"/>
          <c:min val="9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798961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19C59-740C-7583-9903-769DE5FAA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AEEBB0-1253-5C81-6739-17F09B95D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1915-E657-4F77-B62C-858DF75AED54}">
  <dimension ref="B1:H28"/>
  <sheetViews>
    <sheetView showGridLines="0" tabSelected="1" workbookViewId="0"/>
  </sheetViews>
  <sheetFormatPr defaultRowHeight="14.5" x14ac:dyDescent="0.35"/>
  <cols>
    <col min="1" max="1" width="2.6328125" style="7" customWidth="1"/>
    <col min="2" max="2" width="28.6328125" style="7" customWidth="1"/>
    <col min="3" max="3" width="26.6328125" style="7" customWidth="1"/>
    <col min="4" max="4" width="28.6328125" style="7" customWidth="1"/>
    <col min="5" max="16384" width="8.7265625" style="7"/>
  </cols>
  <sheetData>
    <row r="1" spans="2:8" x14ac:dyDescent="0.35">
      <c r="B1" s="8" t="s">
        <v>167</v>
      </c>
      <c r="C1" s="9"/>
      <c r="D1" s="9"/>
      <c r="E1" s="9"/>
      <c r="F1" s="9"/>
      <c r="G1" s="9"/>
      <c r="H1" s="9"/>
    </row>
    <row r="2" spans="2:8" x14ac:dyDescent="0.35">
      <c r="B2" s="9"/>
      <c r="C2" s="9"/>
      <c r="D2" s="9"/>
      <c r="E2" s="9"/>
      <c r="F2" s="9"/>
      <c r="G2" s="9"/>
      <c r="H2" s="9"/>
    </row>
    <row r="4" spans="2:8" x14ac:dyDescent="0.35">
      <c r="B4" s="10" t="s">
        <v>168</v>
      </c>
      <c r="C4" s="11" t="s">
        <v>12</v>
      </c>
      <c r="D4" s="12"/>
    </row>
    <row r="5" spans="2:8" x14ac:dyDescent="0.35">
      <c r="B5" s="13" t="s">
        <v>169</v>
      </c>
    </row>
    <row r="6" spans="2:8" x14ac:dyDescent="0.35">
      <c r="B6" s="14" t="s">
        <v>170</v>
      </c>
      <c r="C6" s="14" t="s">
        <v>171</v>
      </c>
      <c r="D6" s="14" t="s">
        <v>172</v>
      </c>
    </row>
    <row r="7" spans="2:8" x14ac:dyDescent="0.35">
      <c r="B7" s="15" t="s">
        <v>173</v>
      </c>
      <c r="C7" s="16">
        <f>VLOOKUP(C4,Product_Setup!A:C,2,FALSE)</f>
        <v>95</v>
      </c>
      <c r="D7" s="15"/>
    </row>
    <row r="8" spans="2:8" x14ac:dyDescent="0.35">
      <c r="B8" s="15" t="s">
        <v>174</v>
      </c>
      <c r="C8" s="16">
        <f>VLOOKUP(C4,Product_Setup!A:C,3,FALSE)</f>
        <v>105</v>
      </c>
      <c r="D8" s="15"/>
    </row>
    <row r="9" spans="2:8" x14ac:dyDescent="0.35">
      <c r="B9" s="15" t="s">
        <v>175</v>
      </c>
      <c r="C9" s="17">
        <f>COUNTIFS(Batch_Data!A2:A500,C4)</f>
        <v>52</v>
      </c>
      <c r="D9" s="15"/>
    </row>
    <row r="10" spans="2:8" x14ac:dyDescent="0.35">
      <c r="B10" s="15" t="s">
        <v>176</v>
      </c>
      <c r="C10" s="17">
        <f>COUNTIFS(Batch_Data!A2:A500,C4,Batch_Data!L2:L500,"Released")</f>
        <v>52</v>
      </c>
      <c r="D10" s="15"/>
    </row>
    <row r="11" spans="2:8" x14ac:dyDescent="0.35">
      <c r="B11" s="15" t="s">
        <v>177</v>
      </c>
      <c r="C11" s="17">
        <f>COUNTIFS(Batch_Data!A2:A500,C4,Batch_Data!L2:L500,"Rejected")</f>
        <v>0</v>
      </c>
      <c r="D11" s="15"/>
    </row>
    <row r="12" spans="2:8" x14ac:dyDescent="0.35">
      <c r="B12" s="15" t="s">
        <v>178</v>
      </c>
      <c r="C12" s="18">
        <f>C10/C9</f>
        <v>1</v>
      </c>
      <c r="D12" s="15" t="str">
        <f>IF(C12&gt;=0.95,"Meets target (95%)","Below target - review")</f>
        <v>Meets target (95%)</v>
      </c>
    </row>
    <row r="13" spans="2:8" x14ac:dyDescent="0.35">
      <c r="B13" s="15" t="s">
        <v>179</v>
      </c>
      <c r="C13" s="16">
        <f>AVERAGEIFS(Batch_Data!F2:F500,Batch_Data!A2:A500,C4)</f>
        <v>97.173076923076934</v>
      </c>
      <c r="D13" s="15"/>
    </row>
    <row r="14" spans="2:8" x14ac:dyDescent="0.35">
      <c r="B14" s="15" t="s">
        <v>180</v>
      </c>
      <c r="C14" s="17">
        <f>COUNTIFS(Batch_Data!A2:A500,C4,Batch_Data!J2:J500,"Y")</f>
        <v>4</v>
      </c>
      <c r="D14" s="15"/>
    </row>
    <row r="15" spans="2:8" x14ac:dyDescent="0.35">
      <c r="B15" s="15" t="s">
        <v>181</v>
      </c>
      <c r="C15" s="18">
        <f>C14/C9</f>
        <v>7.6923076923076927E-2</v>
      </c>
      <c r="D15" s="15" t="str">
        <f>IF(C15&gt;0.1,"High - review","Acceptable")</f>
        <v>Acceptable</v>
      </c>
    </row>
    <row r="16" spans="2:8" x14ac:dyDescent="0.35">
      <c r="B16" s="15" t="s">
        <v>182</v>
      </c>
      <c r="C16" s="17">
        <f>COUNTIFS(Batch_Data!A2:A500,C4,Batch_Data!K2:K500,"Y")</f>
        <v>0</v>
      </c>
      <c r="D16" s="15"/>
    </row>
    <row r="17" spans="2:4" x14ac:dyDescent="0.35">
      <c r="B17" s="15" t="s">
        <v>183</v>
      </c>
      <c r="C17" s="19">
        <f>AVERAGEIFS(Batch_Data!G2:G500,Batch_Data!A2:A500,C4)</f>
        <v>100.45576923076921</v>
      </c>
      <c r="D17" s="15"/>
    </row>
    <row r="18" spans="2:4" x14ac:dyDescent="0.35">
      <c r="B18" s="15" t="s">
        <v>184</v>
      </c>
      <c r="C18" s="19">
        <f>_xlfn.AGGREGATE(7,6,Chart_Data!D2:D61)</f>
        <v>1.2933333527701334</v>
      </c>
      <c r="D18" s="15"/>
    </row>
    <row r="19" spans="2:4" x14ac:dyDescent="0.35">
      <c r="B19" s="15" t="s">
        <v>185</v>
      </c>
      <c r="C19" s="19">
        <f>MIN((C8-C17)/(3*C18),(C17-C7)/(3*C18))</f>
        <v>1.1711934796232044</v>
      </c>
      <c r="D19" s="15" t="str">
        <f>IF(C19&gt;=1.33,"Capable",IF(C19&gt;=1,"Marginal - review","Not capable - action needed"))</f>
        <v>Marginal - review</v>
      </c>
    </row>
    <row r="20" spans="2:4" x14ac:dyDescent="0.35">
      <c r="B20" s="15" t="s">
        <v>186</v>
      </c>
      <c r="C20" s="16">
        <f>AVERAGEIFS(Batch_Data!H2:H500,Batch_Data!A2:A500,C4)</f>
        <v>92.915384615384639</v>
      </c>
      <c r="D20" s="15"/>
    </row>
    <row r="21" spans="2:4" x14ac:dyDescent="0.35">
      <c r="B21" s="15" t="s">
        <v>187</v>
      </c>
      <c r="C21" s="19">
        <f>AVERAGEIFS(Batch_Data!I2:I500,Batch_Data!A2:A500,C4)</f>
        <v>0.30326923076923079</v>
      </c>
      <c r="D21" s="15"/>
    </row>
    <row r="22" spans="2:4" x14ac:dyDescent="0.35">
      <c r="B22" s="15" t="s">
        <v>157</v>
      </c>
      <c r="C22" s="17">
        <f>VLOOKUP(C4,Product_Setup!A:F,4,FALSE)</f>
        <v>2</v>
      </c>
      <c r="D22" s="15"/>
    </row>
    <row r="23" spans="2:4" x14ac:dyDescent="0.35">
      <c r="B23" s="15" t="s">
        <v>158</v>
      </c>
      <c r="C23" s="17">
        <f>VLOOKUP(C4,Product_Setup!A:F,5,FALSE)</f>
        <v>3</v>
      </c>
      <c r="D23" s="15"/>
    </row>
    <row r="24" spans="2:4" x14ac:dyDescent="0.35">
      <c r="B24" s="15" t="s">
        <v>159</v>
      </c>
      <c r="C24" s="17">
        <f>VLOOKUP(C4,Product_Setup!A:F,6,FALSE)</f>
        <v>5</v>
      </c>
      <c r="D24" s="15"/>
    </row>
    <row r="26" spans="2:4" x14ac:dyDescent="0.35">
      <c r="B26" s="13" t="str">
        <f>"Conclusion: "&amp;IF(C19&gt;=1.33,"process is capable for assay (Cpk "&amp;TEXT(C19,"0.00")&amp;"); no change recommended.","assay Cpk "&amp;TEXT(C19,"0.00")&amp;" is below 1.33; trend review and CAPA recommended.")</f>
        <v>Conclusion: assay Cpk 1.17 is below 1.33; trend review and CAPA recommended.</v>
      </c>
    </row>
    <row r="28" spans="2:4" x14ac:dyDescent="0.35">
      <c r="B28" s="20" t="s">
        <v>188</v>
      </c>
    </row>
  </sheetData>
  <mergeCells count="2">
    <mergeCell ref="B1:H2"/>
    <mergeCell ref="C4:D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49584D-B320-464F-A6EF-E705D675B944}">
          <x14:formula1>
            <xm:f>Product_Setup!$A$2:$A$20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C027-2B0C-4690-ADAF-10D0163D3189}">
  <dimension ref="A1:L138"/>
  <sheetViews>
    <sheetView workbookViewId="0"/>
  </sheetViews>
  <sheetFormatPr defaultRowHeight="14.5" x14ac:dyDescent="0.35"/>
  <cols>
    <col min="1" max="1" width="23.90625" bestFit="1" customWidth="1"/>
    <col min="3" max="3" width="11.7265625" bestFit="1" customWidth="1"/>
    <col min="4" max="4" width="12.90625" bestFit="1" customWidth="1"/>
    <col min="5" max="5" width="14.26953125" bestFit="1" customWidth="1"/>
    <col min="6" max="6" width="6.7265625" bestFit="1" customWidth="1"/>
    <col min="7" max="7" width="7.453125" bestFit="1" customWidth="1"/>
    <col min="8" max="8" width="12.08984375" bestFit="1" customWidth="1"/>
    <col min="9" max="9" width="14.7265625" bestFit="1" customWidth="1"/>
    <col min="10" max="10" width="13.7265625" bestFit="1" customWidth="1"/>
    <col min="11" max="11" width="9.26953125" bestFit="1" customWidth="1"/>
    <col min="12" max="12" width="8.26953125" bestFit="1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t="s">
        <v>12</v>
      </c>
      <c r="B2" t="s">
        <v>13</v>
      </c>
      <c r="C2" s="2">
        <v>45663</v>
      </c>
      <c r="D2">
        <v>200</v>
      </c>
      <c r="E2">
        <v>189</v>
      </c>
      <c r="F2" s="1">
        <f t="shared" ref="F2:F33" si="0">E2/D2*100</f>
        <v>94.5</v>
      </c>
      <c r="G2">
        <v>98.3</v>
      </c>
      <c r="H2">
        <v>88.1</v>
      </c>
      <c r="I2">
        <v>0.25</v>
      </c>
      <c r="J2" t="s">
        <v>14</v>
      </c>
      <c r="K2" t="s">
        <v>14</v>
      </c>
      <c r="L2" t="s">
        <v>15</v>
      </c>
    </row>
    <row r="3" spans="1:12" x14ac:dyDescent="0.35">
      <c r="A3" t="s">
        <v>12</v>
      </c>
      <c r="B3" t="s">
        <v>16</v>
      </c>
      <c r="C3" s="2">
        <v>45669</v>
      </c>
      <c r="D3">
        <v>200</v>
      </c>
      <c r="E3">
        <v>189</v>
      </c>
      <c r="F3" s="1">
        <f t="shared" si="0"/>
        <v>94.5</v>
      </c>
      <c r="G3">
        <v>98.8</v>
      </c>
      <c r="H3">
        <v>93.5</v>
      </c>
      <c r="I3">
        <v>0.55000000000000004</v>
      </c>
      <c r="J3" t="s">
        <v>14</v>
      </c>
      <c r="K3" t="s">
        <v>14</v>
      </c>
      <c r="L3" t="s">
        <v>15</v>
      </c>
    </row>
    <row r="4" spans="1:12" x14ac:dyDescent="0.35">
      <c r="A4" t="s">
        <v>12</v>
      </c>
      <c r="B4" t="s">
        <v>17</v>
      </c>
      <c r="C4" s="2">
        <v>45675</v>
      </c>
      <c r="D4">
        <v>200</v>
      </c>
      <c r="E4">
        <v>198</v>
      </c>
      <c r="F4" s="1">
        <f t="shared" si="0"/>
        <v>99</v>
      </c>
      <c r="G4">
        <v>100.5</v>
      </c>
      <c r="H4">
        <v>91.1</v>
      </c>
      <c r="I4">
        <v>0.12</v>
      </c>
      <c r="J4" t="s">
        <v>18</v>
      </c>
      <c r="K4" t="s">
        <v>14</v>
      </c>
      <c r="L4" t="s">
        <v>15</v>
      </c>
    </row>
    <row r="5" spans="1:12" x14ac:dyDescent="0.35">
      <c r="A5" t="s">
        <v>12</v>
      </c>
      <c r="B5" t="s">
        <v>19</v>
      </c>
      <c r="C5" s="2">
        <v>45681</v>
      </c>
      <c r="D5">
        <v>200</v>
      </c>
      <c r="E5">
        <v>199.2</v>
      </c>
      <c r="F5" s="1">
        <f t="shared" si="0"/>
        <v>99.6</v>
      </c>
      <c r="G5">
        <v>99.4</v>
      </c>
      <c r="H5">
        <v>97.4</v>
      </c>
      <c r="I5">
        <v>0.22</v>
      </c>
      <c r="J5" t="s">
        <v>14</v>
      </c>
      <c r="K5" t="s">
        <v>14</v>
      </c>
      <c r="L5" t="s">
        <v>15</v>
      </c>
    </row>
    <row r="6" spans="1:12" x14ac:dyDescent="0.35">
      <c r="A6" t="s">
        <v>12</v>
      </c>
      <c r="B6" t="s">
        <v>20</v>
      </c>
      <c r="C6" s="2">
        <v>45687</v>
      </c>
      <c r="D6">
        <v>200</v>
      </c>
      <c r="E6">
        <v>189.4</v>
      </c>
      <c r="F6" s="1">
        <f t="shared" si="0"/>
        <v>94.7</v>
      </c>
      <c r="G6">
        <v>99</v>
      </c>
      <c r="H6">
        <v>88.3</v>
      </c>
      <c r="I6">
        <v>0.56999999999999995</v>
      </c>
      <c r="J6" t="s">
        <v>18</v>
      </c>
      <c r="K6" t="s">
        <v>14</v>
      </c>
      <c r="L6" t="s">
        <v>15</v>
      </c>
    </row>
    <row r="7" spans="1:12" x14ac:dyDescent="0.35">
      <c r="A7" t="s">
        <v>12</v>
      </c>
      <c r="B7" t="s">
        <v>21</v>
      </c>
      <c r="C7" s="2">
        <v>45693</v>
      </c>
      <c r="D7">
        <v>200</v>
      </c>
      <c r="E7">
        <v>198.2</v>
      </c>
      <c r="F7" s="1">
        <f t="shared" si="0"/>
        <v>99.1</v>
      </c>
      <c r="G7">
        <v>100.1</v>
      </c>
      <c r="H7">
        <v>91.7</v>
      </c>
      <c r="I7">
        <v>0.46</v>
      </c>
      <c r="J7" t="s">
        <v>14</v>
      </c>
      <c r="K7" t="s">
        <v>14</v>
      </c>
      <c r="L7" t="s">
        <v>15</v>
      </c>
    </row>
    <row r="8" spans="1:12" x14ac:dyDescent="0.35">
      <c r="A8" t="s">
        <v>12</v>
      </c>
      <c r="B8" t="s">
        <v>22</v>
      </c>
      <c r="C8" s="2">
        <v>45699</v>
      </c>
      <c r="D8">
        <v>200</v>
      </c>
      <c r="E8">
        <v>194</v>
      </c>
      <c r="F8" s="1">
        <f t="shared" si="0"/>
        <v>97</v>
      </c>
      <c r="G8">
        <v>101.3</v>
      </c>
      <c r="H8">
        <v>96.9</v>
      </c>
      <c r="I8">
        <v>0.46</v>
      </c>
      <c r="J8" t="s">
        <v>14</v>
      </c>
      <c r="K8" t="s">
        <v>14</v>
      </c>
      <c r="L8" t="s">
        <v>15</v>
      </c>
    </row>
    <row r="9" spans="1:12" x14ac:dyDescent="0.35">
      <c r="A9" t="s">
        <v>12</v>
      </c>
      <c r="B9" t="s">
        <v>23</v>
      </c>
      <c r="C9" s="2">
        <v>45705</v>
      </c>
      <c r="D9">
        <v>200</v>
      </c>
      <c r="E9">
        <v>190.8</v>
      </c>
      <c r="F9" s="1">
        <f t="shared" si="0"/>
        <v>95.4</v>
      </c>
      <c r="G9">
        <v>100.1</v>
      </c>
      <c r="H9">
        <v>88.2</v>
      </c>
      <c r="I9">
        <v>0.22</v>
      </c>
      <c r="J9" t="s">
        <v>14</v>
      </c>
      <c r="K9" t="s">
        <v>14</v>
      </c>
      <c r="L9" t="s">
        <v>15</v>
      </c>
    </row>
    <row r="10" spans="1:12" x14ac:dyDescent="0.35">
      <c r="A10" t="s">
        <v>12</v>
      </c>
      <c r="B10" t="s">
        <v>24</v>
      </c>
      <c r="C10" s="2">
        <v>45711</v>
      </c>
      <c r="D10">
        <v>200</v>
      </c>
      <c r="E10">
        <v>201.4</v>
      </c>
      <c r="F10" s="1">
        <f t="shared" si="0"/>
        <v>100.70000000000002</v>
      </c>
      <c r="G10">
        <v>100.9</v>
      </c>
      <c r="H10">
        <v>94.7</v>
      </c>
      <c r="I10">
        <v>0.12</v>
      </c>
      <c r="J10" t="s">
        <v>14</v>
      </c>
      <c r="K10" t="s">
        <v>14</v>
      </c>
      <c r="L10" t="s">
        <v>15</v>
      </c>
    </row>
    <row r="11" spans="1:12" x14ac:dyDescent="0.35">
      <c r="A11" t="s">
        <v>12</v>
      </c>
      <c r="B11" t="s">
        <v>25</v>
      </c>
      <c r="C11" s="2">
        <v>45717</v>
      </c>
      <c r="D11">
        <v>200</v>
      </c>
      <c r="E11">
        <v>191.2</v>
      </c>
      <c r="F11" s="1">
        <f t="shared" si="0"/>
        <v>95.6</v>
      </c>
      <c r="G11">
        <v>100.4</v>
      </c>
      <c r="H11">
        <v>93.6</v>
      </c>
      <c r="I11">
        <v>0.56999999999999995</v>
      </c>
      <c r="J11" t="s">
        <v>14</v>
      </c>
      <c r="K11" t="s">
        <v>14</v>
      </c>
      <c r="L11" t="s">
        <v>15</v>
      </c>
    </row>
    <row r="12" spans="1:12" x14ac:dyDescent="0.35">
      <c r="A12" t="s">
        <v>12</v>
      </c>
      <c r="B12" t="s">
        <v>26</v>
      </c>
      <c r="C12" s="2">
        <v>45723</v>
      </c>
      <c r="D12">
        <v>200</v>
      </c>
      <c r="E12">
        <v>191</v>
      </c>
      <c r="F12" s="1">
        <f t="shared" si="0"/>
        <v>95.5</v>
      </c>
      <c r="G12">
        <v>100.6</v>
      </c>
      <c r="H12">
        <v>89.3</v>
      </c>
      <c r="I12">
        <v>0.46</v>
      </c>
      <c r="J12" t="s">
        <v>14</v>
      </c>
      <c r="K12" t="s">
        <v>14</v>
      </c>
      <c r="L12" t="s">
        <v>15</v>
      </c>
    </row>
    <row r="13" spans="1:12" x14ac:dyDescent="0.35">
      <c r="A13" t="s">
        <v>12</v>
      </c>
      <c r="B13" t="s">
        <v>27</v>
      </c>
      <c r="C13" s="2">
        <v>45729</v>
      </c>
      <c r="D13">
        <v>200</v>
      </c>
      <c r="E13">
        <v>199.4</v>
      </c>
      <c r="F13" s="1">
        <f t="shared" si="0"/>
        <v>99.7</v>
      </c>
      <c r="G13">
        <v>101.1</v>
      </c>
      <c r="H13">
        <v>96.2</v>
      </c>
      <c r="I13">
        <v>0.39</v>
      </c>
      <c r="J13" t="s">
        <v>14</v>
      </c>
      <c r="K13" t="s">
        <v>14</v>
      </c>
      <c r="L13" t="s">
        <v>15</v>
      </c>
    </row>
    <row r="14" spans="1:12" x14ac:dyDescent="0.35">
      <c r="A14" t="s">
        <v>12</v>
      </c>
      <c r="B14" t="s">
        <v>28</v>
      </c>
      <c r="C14" s="2">
        <v>45735</v>
      </c>
      <c r="D14">
        <v>200</v>
      </c>
      <c r="E14">
        <v>198.8</v>
      </c>
      <c r="F14" s="1">
        <f t="shared" si="0"/>
        <v>99.4</v>
      </c>
      <c r="G14">
        <v>99.1</v>
      </c>
      <c r="H14">
        <v>89.2</v>
      </c>
      <c r="I14">
        <v>0.22</v>
      </c>
      <c r="J14" t="s">
        <v>14</v>
      </c>
      <c r="K14" t="s">
        <v>14</v>
      </c>
      <c r="L14" t="s">
        <v>15</v>
      </c>
    </row>
    <row r="15" spans="1:12" x14ac:dyDescent="0.35">
      <c r="A15" t="s">
        <v>12</v>
      </c>
      <c r="B15" t="s">
        <v>29</v>
      </c>
      <c r="C15" s="2">
        <v>45741</v>
      </c>
      <c r="D15">
        <v>200</v>
      </c>
      <c r="E15">
        <v>190.6</v>
      </c>
      <c r="F15" s="1">
        <f t="shared" si="0"/>
        <v>95.3</v>
      </c>
      <c r="G15">
        <v>100.8</v>
      </c>
      <c r="H15">
        <v>98</v>
      </c>
      <c r="I15">
        <v>0.43</v>
      </c>
      <c r="J15" t="s">
        <v>18</v>
      </c>
      <c r="K15" t="s">
        <v>14</v>
      </c>
      <c r="L15" t="s">
        <v>15</v>
      </c>
    </row>
    <row r="16" spans="1:12" x14ac:dyDescent="0.35">
      <c r="A16" t="s">
        <v>12</v>
      </c>
      <c r="B16" t="s">
        <v>30</v>
      </c>
      <c r="C16" s="2">
        <v>45747</v>
      </c>
      <c r="D16">
        <v>200</v>
      </c>
      <c r="E16">
        <v>189.4</v>
      </c>
      <c r="F16" s="1">
        <f t="shared" si="0"/>
        <v>94.7</v>
      </c>
      <c r="G16">
        <v>101.7</v>
      </c>
      <c r="H16">
        <v>88.9</v>
      </c>
      <c r="I16">
        <v>0.15</v>
      </c>
      <c r="J16" t="s">
        <v>14</v>
      </c>
      <c r="K16" t="s">
        <v>14</v>
      </c>
      <c r="L16" t="s">
        <v>15</v>
      </c>
    </row>
    <row r="17" spans="1:12" x14ac:dyDescent="0.35">
      <c r="A17" t="s">
        <v>12</v>
      </c>
      <c r="B17" t="s">
        <v>31</v>
      </c>
      <c r="C17" s="2">
        <v>45753</v>
      </c>
      <c r="D17">
        <v>200</v>
      </c>
      <c r="E17">
        <v>196.4</v>
      </c>
      <c r="F17" s="1">
        <f t="shared" si="0"/>
        <v>98.2</v>
      </c>
      <c r="G17">
        <v>101.3</v>
      </c>
      <c r="H17">
        <v>95.9</v>
      </c>
      <c r="I17">
        <v>0.59</v>
      </c>
      <c r="J17" t="s">
        <v>14</v>
      </c>
      <c r="K17" t="s">
        <v>14</v>
      </c>
      <c r="L17" t="s">
        <v>15</v>
      </c>
    </row>
    <row r="18" spans="1:12" x14ac:dyDescent="0.35">
      <c r="A18" t="s">
        <v>12</v>
      </c>
      <c r="B18" t="s">
        <v>32</v>
      </c>
      <c r="C18" s="2">
        <v>45759</v>
      </c>
      <c r="D18">
        <v>200</v>
      </c>
      <c r="E18">
        <v>188.6</v>
      </c>
      <c r="F18" s="1">
        <f t="shared" si="0"/>
        <v>94.3</v>
      </c>
      <c r="G18">
        <v>100.3</v>
      </c>
      <c r="H18">
        <v>92.2</v>
      </c>
      <c r="I18">
        <v>0.17</v>
      </c>
      <c r="J18" t="s">
        <v>14</v>
      </c>
      <c r="K18" t="s">
        <v>14</v>
      </c>
      <c r="L18" t="s">
        <v>15</v>
      </c>
    </row>
    <row r="19" spans="1:12" x14ac:dyDescent="0.35">
      <c r="A19" t="s">
        <v>12</v>
      </c>
      <c r="B19" t="s">
        <v>33</v>
      </c>
      <c r="C19" s="2">
        <v>45765</v>
      </c>
      <c r="D19">
        <v>200</v>
      </c>
      <c r="E19">
        <v>188.8</v>
      </c>
      <c r="F19" s="1">
        <f t="shared" si="0"/>
        <v>94.4</v>
      </c>
      <c r="G19">
        <v>102</v>
      </c>
      <c r="H19">
        <v>96.7</v>
      </c>
      <c r="I19">
        <v>0.21</v>
      </c>
      <c r="J19" t="s">
        <v>14</v>
      </c>
      <c r="K19" t="s">
        <v>14</v>
      </c>
      <c r="L19" t="s">
        <v>15</v>
      </c>
    </row>
    <row r="20" spans="1:12" x14ac:dyDescent="0.35">
      <c r="A20" t="s">
        <v>12</v>
      </c>
      <c r="B20" t="s">
        <v>34</v>
      </c>
      <c r="C20" s="2">
        <v>45771</v>
      </c>
      <c r="D20">
        <v>200</v>
      </c>
      <c r="E20">
        <v>190.2</v>
      </c>
      <c r="F20" s="1">
        <f t="shared" si="0"/>
        <v>95.1</v>
      </c>
      <c r="G20">
        <v>98.8</v>
      </c>
      <c r="H20">
        <v>95.4</v>
      </c>
      <c r="I20">
        <v>0.25</v>
      </c>
      <c r="J20" t="s">
        <v>14</v>
      </c>
      <c r="K20" t="s">
        <v>14</v>
      </c>
      <c r="L20" t="s">
        <v>15</v>
      </c>
    </row>
    <row r="21" spans="1:12" x14ac:dyDescent="0.35">
      <c r="A21" t="s">
        <v>12</v>
      </c>
      <c r="B21" t="s">
        <v>35</v>
      </c>
      <c r="C21" s="2">
        <v>45777</v>
      </c>
      <c r="D21">
        <v>200</v>
      </c>
      <c r="E21">
        <v>198.8</v>
      </c>
      <c r="F21" s="1">
        <f t="shared" si="0"/>
        <v>99.4</v>
      </c>
      <c r="G21">
        <v>99.9</v>
      </c>
      <c r="H21">
        <v>88.7</v>
      </c>
      <c r="I21">
        <v>0.08</v>
      </c>
      <c r="J21" t="s">
        <v>14</v>
      </c>
      <c r="K21" t="s">
        <v>14</v>
      </c>
      <c r="L21" t="s">
        <v>15</v>
      </c>
    </row>
    <row r="22" spans="1:12" x14ac:dyDescent="0.35">
      <c r="A22" t="s">
        <v>12</v>
      </c>
      <c r="B22" t="s">
        <v>36</v>
      </c>
      <c r="C22" s="2">
        <v>45783</v>
      </c>
      <c r="D22">
        <v>200</v>
      </c>
      <c r="E22">
        <v>189</v>
      </c>
      <c r="F22" s="1">
        <f t="shared" si="0"/>
        <v>94.5</v>
      </c>
      <c r="G22">
        <v>98.9</v>
      </c>
      <c r="H22">
        <v>91.3</v>
      </c>
      <c r="I22">
        <v>0.08</v>
      </c>
      <c r="J22" t="s">
        <v>14</v>
      </c>
      <c r="K22" t="s">
        <v>14</v>
      </c>
      <c r="L22" t="s">
        <v>15</v>
      </c>
    </row>
    <row r="23" spans="1:12" x14ac:dyDescent="0.35">
      <c r="A23" t="s">
        <v>12</v>
      </c>
      <c r="B23" t="s">
        <v>37</v>
      </c>
      <c r="C23" s="2">
        <v>45789</v>
      </c>
      <c r="D23">
        <v>200</v>
      </c>
      <c r="E23">
        <v>197</v>
      </c>
      <c r="F23" s="1">
        <f t="shared" si="0"/>
        <v>98.5</v>
      </c>
      <c r="G23">
        <v>100.4</v>
      </c>
      <c r="H23">
        <v>97.7</v>
      </c>
      <c r="I23">
        <v>0.06</v>
      </c>
      <c r="J23" t="s">
        <v>14</v>
      </c>
      <c r="K23" t="s">
        <v>14</v>
      </c>
      <c r="L23" t="s">
        <v>15</v>
      </c>
    </row>
    <row r="24" spans="1:12" x14ac:dyDescent="0.35">
      <c r="A24" t="s">
        <v>12</v>
      </c>
      <c r="B24" t="s">
        <v>38</v>
      </c>
      <c r="C24" s="2">
        <v>45795</v>
      </c>
      <c r="D24">
        <v>200</v>
      </c>
      <c r="E24">
        <v>191.6</v>
      </c>
      <c r="F24" s="1">
        <f t="shared" si="0"/>
        <v>95.8</v>
      </c>
      <c r="G24">
        <v>102.2</v>
      </c>
      <c r="H24">
        <v>90.8</v>
      </c>
      <c r="I24">
        <v>0.15</v>
      </c>
      <c r="J24" t="s">
        <v>14</v>
      </c>
      <c r="K24" t="s">
        <v>14</v>
      </c>
      <c r="L24" t="s">
        <v>15</v>
      </c>
    </row>
    <row r="25" spans="1:12" x14ac:dyDescent="0.35">
      <c r="A25" t="s">
        <v>12</v>
      </c>
      <c r="B25" t="s">
        <v>39</v>
      </c>
      <c r="C25" s="2">
        <v>45801</v>
      </c>
      <c r="D25">
        <v>200</v>
      </c>
      <c r="E25">
        <v>193</v>
      </c>
      <c r="F25" s="1">
        <f t="shared" si="0"/>
        <v>96.5</v>
      </c>
      <c r="G25">
        <v>101.4</v>
      </c>
      <c r="H25">
        <v>96.2</v>
      </c>
      <c r="I25">
        <v>0.12</v>
      </c>
      <c r="J25" t="s">
        <v>14</v>
      </c>
      <c r="K25" t="s">
        <v>14</v>
      </c>
      <c r="L25" t="s">
        <v>15</v>
      </c>
    </row>
    <row r="26" spans="1:12" x14ac:dyDescent="0.35">
      <c r="A26" t="s">
        <v>12</v>
      </c>
      <c r="B26" t="s">
        <v>40</v>
      </c>
      <c r="C26" s="2">
        <v>45807</v>
      </c>
      <c r="D26">
        <v>200</v>
      </c>
      <c r="E26">
        <v>198.2</v>
      </c>
      <c r="F26" s="1">
        <f t="shared" si="0"/>
        <v>99.1</v>
      </c>
      <c r="G26">
        <v>100.5</v>
      </c>
      <c r="H26">
        <v>91.2</v>
      </c>
      <c r="I26">
        <v>0.56999999999999995</v>
      </c>
      <c r="J26" t="s">
        <v>14</v>
      </c>
      <c r="K26" t="s">
        <v>14</v>
      </c>
      <c r="L26" t="s">
        <v>15</v>
      </c>
    </row>
    <row r="27" spans="1:12" x14ac:dyDescent="0.35">
      <c r="A27" t="s">
        <v>12</v>
      </c>
      <c r="B27" t="s">
        <v>41</v>
      </c>
      <c r="C27" s="2">
        <v>45813</v>
      </c>
      <c r="D27">
        <v>200</v>
      </c>
      <c r="E27">
        <v>201.2</v>
      </c>
      <c r="F27" s="1">
        <f t="shared" si="0"/>
        <v>100.6</v>
      </c>
      <c r="G27">
        <v>101.9</v>
      </c>
      <c r="H27">
        <v>90.5</v>
      </c>
      <c r="I27">
        <v>0.43</v>
      </c>
      <c r="J27" t="s">
        <v>14</v>
      </c>
      <c r="K27" t="s">
        <v>14</v>
      </c>
      <c r="L27" t="s">
        <v>15</v>
      </c>
    </row>
    <row r="28" spans="1:12" x14ac:dyDescent="0.35">
      <c r="A28" t="s">
        <v>12</v>
      </c>
      <c r="B28" t="s">
        <v>42</v>
      </c>
      <c r="C28" s="2">
        <v>45819</v>
      </c>
      <c r="D28">
        <v>200</v>
      </c>
      <c r="E28">
        <v>198.8</v>
      </c>
      <c r="F28" s="1">
        <f t="shared" si="0"/>
        <v>99.4</v>
      </c>
      <c r="G28">
        <v>101</v>
      </c>
      <c r="H28">
        <v>93.1</v>
      </c>
      <c r="I28">
        <v>0.47</v>
      </c>
      <c r="J28" t="s">
        <v>14</v>
      </c>
      <c r="K28" t="s">
        <v>14</v>
      </c>
      <c r="L28" t="s">
        <v>15</v>
      </c>
    </row>
    <row r="29" spans="1:12" x14ac:dyDescent="0.35">
      <c r="A29" t="s">
        <v>12</v>
      </c>
      <c r="B29" t="s">
        <v>43</v>
      </c>
      <c r="C29" s="2">
        <v>45825</v>
      </c>
      <c r="D29">
        <v>200</v>
      </c>
      <c r="E29">
        <v>201.4</v>
      </c>
      <c r="F29" s="1">
        <f t="shared" si="0"/>
        <v>100.70000000000002</v>
      </c>
      <c r="G29">
        <v>101</v>
      </c>
      <c r="H29">
        <v>95.3</v>
      </c>
      <c r="I29">
        <v>0.44</v>
      </c>
      <c r="J29" t="s">
        <v>14</v>
      </c>
      <c r="K29" t="s">
        <v>14</v>
      </c>
      <c r="L29" t="s">
        <v>15</v>
      </c>
    </row>
    <row r="30" spans="1:12" x14ac:dyDescent="0.35">
      <c r="A30" t="s">
        <v>12</v>
      </c>
      <c r="B30" t="s">
        <v>44</v>
      </c>
      <c r="C30" s="2">
        <v>45831</v>
      </c>
      <c r="D30">
        <v>200</v>
      </c>
      <c r="E30">
        <v>194.6</v>
      </c>
      <c r="F30" s="1">
        <f t="shared" si="0"/>
        <v>97.3</v>
      </c>
      <c r="G30">
        <v>99.5</v>
      </c>
      <c r="H30">
        <v>91.6</v>
      </c>
      <c r="I30">
        <v>0.52</v>
      </c>
      <c r="J30" t="s">
        <v>14</v>
      </c>
      <c r="K30" t="s">
        <v>14</v>
      </c>
      <c r="L30" t="s">
        <v>15</v>
      </c>
    </row>
    <row r="31" spans="1:12" x14ac:dyDescent="0.35">
      <c r="A31" t="s">
        <v>12</v>
      </c>
      <c r="B31" t="s">
        <v>45</v>
      </c>
      <c r="C31" s="2">
        <v>45837</v>
      </c>
      <c r="D31">
        <v>200</v>
      </c>
      <c r="E31">
        <v>199.8</v>
      </c>
      <c r="F31" s="1">
        <f t="shared" si="0"/>
        <v>99.9</v>
      </c>
      <c r="G31">
        <v>98.4</v>
      </c>
      <c r="H31">
        <v>90.9</v>
      </c>
      <c r="I31">
        <v>0.14000000000000001</v>
      </c>
      <c r="J31" t="s">
        <v>14</v>
      </c>
      <c r="K31" t="s">
        <v>14</v>
      </c>
      <c r="L31" t="s">
        <v>15</v>
      </c>
    </row>
    <row r="32" spans="1:12" x14ac:dyDescent="0.35">
      <c r="A32" t="s">
        <v>12</v>
      </c>
      <c r="B32" t="s">
        <v>46</v>
      </c>
      <c r="C32" s="2">
        <v>45843</v>
      </c>
      <c r="D32">
        <v>200</v>
      </c>
      <c r="E32">
        <v>192.2</v>
      </c>
      <c r="F32" s="1">
        <f t="shared" si="0"/>
        <v>96.1</v>
      </c>
      <c r="G32">
        <v>100.7</v>
      </c>
      <c r="H32">
        <v>95.9</v>
      </c>
      <c r="I32">
        <v>0.1</v>
      </c>
      <c r="J32" t="s">
        <v>14</v>
      </c>
      <c r="K32" t="s">
        <v>14</v>
      </c>
      <c r="L32" t="s">
        <v>15</v>
      </c>
    </row>
    <row r="33" spans="1:12" x14ac:dyDescent="0.35">
      <c r="A33" t="s">
        <v>12</v>
      </c>
      <c r="B33" t="s">
        <v>47</v>
      </c>
      <c r="C33" s="2">
        <v>45849</v>
      </c>
      <c r="D33">
        <v>200</v>
      </c>
      <c r="E33">
        <v>193.8</v>
      </c>
      <c r="F33" s="1">
        <f t="shared" si="0"/>
        <v>96.9</v>
      </c>
      <c r="G33">
        <v>101.3</v>
      </c>
      <c r="H33">
        <v>97.9</v>
      </c>
      <c r="I33">
        <v>0.15</v>
      </c>
      <c r="J33" t="s">
        <v>14</v>
      </c>
      <c r="K33" t="s">
        <v>14</v>
      </c>
      <c r="L33" t="s">
        <v>15</v>
      </c>
    </row>
    <row r="34" spans="1:12" x14ac:dyDescent="0.35">
      <c r="A34" t="s">
        <v>12</v>
      </c>
      <c r="B34" t="s">
        <v>48</v>
      </c>
      <c r="C34" s="2">
        <v>45855</v>
      </c>
      <c r="D34">
        <v>200</v>
      </c>
      <c r="E34">
        <v>194.6</v>
      </c>
      <c r="F34" s="1">
        <f t="shared" ref="F34:F65" si="1">E34/D34*100</f>
        <v>97.3</v>
      </c>
      <c r="G34">
        <v>98.6</v>
      </c>
      <c r="H34">
        <v>91.7</v>
      </c>
      <c r="I34">
        <v>0.25</v>
      </c>
      <c r="J34" t="s">
        <v>14</v>
      </c>
      <c r="K34" t="s">
        <v>14</v>
      </c>
      <c r="L34" t="s">
        <v>15</v>
      </c>
    </row>
    <row r="35" spans="1:12" x14ac:dyDescent="0.35">
      <c r="A35" t="s">
        <v>12</v>
      </c>
      <c r="B35" t="s">
        <v>49</v>
      </c>
      <c r="C35" s="2">
        <v>45861</v>
      </c>
      <c r="D35">
        <v>200</v>
      </c>
      <c r="E35">
        <v>194</v>
      </c>
      <c r="F35" s="1">
        <f t="shared" si="1"/>
        <v>97</v>
      </c>
      <c r="G35">
        <v>99.2</v>
      </c>
      <c r="H35">
        <v>91.2</v>
      </c>
      <c r="I35">
        <v>0.56000000000000005</v>
      </c>
      <c r="J35" t="s">
        <v>14</v>
      </c>
      <c r="K35" t="s">
        <v>14</v>
      </c>
      <c r="L35" t="s">
        <v>15</v>
      </c>
    </row>
    <row r="36" spans="1:12" x14ac:dyDescent="0.35">
      <c r="A36" t="s">
        <v>12</v>
      </c>
      <c r="B36" t="s">
        <v>50</v>
      </c>
      <c r="C36" s="2">
        <v>45867</v>
      </c>
      <c r="D36">
        <v>200</v>
      </c>
      <c r="E36">
        <v>189.8</v>
      </c>
      <c r="F36" s="1">
        <f t="shared" si="1"/>
        <v>94.9</v>
      </c>
      <c r="G36">
        <v>99.3</v>
      </c>
      <c r="H36">
        <v>88.3</v>
      </c>
      <c r="I36">
        <v>0.12</v>
      </c>
      <c r="J36" t="s">
        <v>14</v>
      </c>
      <c r="K36" t="s">
        <v>14</v>
      </c>
      <c r="L36" t="s">
        <v>15</v>
      </c>
    </row>
    <row r="37" spans="1:12" x14ac:dyDescent="0.35">
      <c r="A37" t="s">
        <v>12</v>
      </c>
      <c r="B37" t="s">
        <v>51</v>
      </c>
      <c r="C37" s="2">
        <v>45873</v>
      </c>
      <c r="D37">
        <v>200</v>
      </c>
      <c r="E37">
        <v>192.4</v>
      </c>
      <c r="F37" s="1">
        <f t="shared" si="1"/>
        <v>96.2</v>
      </c>
      <c r="G37">
        <v>97.5</v>
      </c>
      <c r="H37">
        <v>96.8</v>
      </c>
      <c r="I37">
        <v>0.19</v>
      </c>
      <c r="J37" t="s">
        <v>14</v>
      </c>
      <c r="K37" t="s">
        <v>14</v>
      </c>
      <c r="L37" t="s">
        <v>15</v>
      </c>
    </row>
    <row r="38" spans="1:12" x14ac:dyDescent="0.35">
      <c r="A38" t="s">
        <v>12</v>
      </c>
      <c r="B38" t="s">
        <v>52</v>
      </c>
      <c r="C38" s="2">
        <v>45879</v>
      </c>
      <c r="D38">
        <v>200</v>
      </c>
      <c r="E38">
        <v>190.2</v>
      </c>
      <c r="F38" s="1">
        <f t="shared" si="1"/>
        <v>95.1</v>
      </c>
      <c r="G38">
        <v>100.4</v>
      </c>
      <c r="H38">
        <v>89.5</v>
      </c>
      <c r="I38">
        <v>0.48</v>
      </c>
      <c r="J38" t="s">
        <v>14</v>
      </c>
      <c r="K38" t="s">
        <v>14</v>
      </c>
      <c r="L38" t="s">
        <v>15</v>
      </c>
    </row>
    <row r="39" spans="1:12" x14ac:dyDescent="0.35">
      <c r="A39" t="s">
        <v>12</v>
      </c>
      <c r="B39" t="s">
        <v>53</v>
      </c>
      <c r="C39" s="2">
        <v>45885</v>
      </c>
      <c r="D39">
        <v>200</v>
      </c>
      <c r="E39">
        <v>188</v>
      </c>
      <c r="F39" s="1">
        <f t="shared" si="1"/>
        <v>94</v>
      </c>
      <c r="G39">
        <v>100.6</v>
      </c>
      <c r="H39">
        <v>88.9</v>
      </c>
      <c r="I39">
        <v>0.08</v>
      </c>
      <c r="J39" t="s">
        <v>14</v>
      </c>
      <c r="K39" t="s">
        <v>14</v>
      </c>
      <c r="L39" t="s">
        <v>15</v>
      </c>
    </row>
    <row r="40" spans="1:12" x14ac:dyDescent="0.35">
      <c r="A40" t="s">
        <v>12</v>
      </c>
      <c r="B40" t="s">
        <v>54</v>
      </c>
      <c r="C40" s="2">
        <v>45891</v>
      </c>
      <c r="D40">
        <v>200</v>
      </c>
      <c r="E40">
        <v>191</v>
      </c>
      <c r="F40" s="1">
        <f t="shared" si="1"/>
        <v>95.5</v>
      </c>
      <c r="G40">
        <v>101.2</v>
      </c>
      <c r="H40">
        <v>88.6</v>
      </c>
      <c r="I40">
        <v>0.48</v>
      </c>
      <c r="J40" t="s">
        <v>14</v>
      </c>
      <c r="K40" t="s">
        <v>14</v>
      </c>
      <c r="L40" t="s">
        <v>15</v>
      </c>
    </row>
    <row r="41" spans="1:12" x14ac:dyDescent="0.35">
      <c r="A41" t="s">
        <v>12</v>
      </c>
      <c r="B41" t="s">
        <v>55</v>
      </c>
      <c r="C41" s="2">
        <v>45897</v>
      </c>
      <c r="D41">
        <v>200</v>
      </c>
      <c r="E41">
        <v>194</v>
      </c>
      <c r="F41" s="1">
        <f t="shared" si="1"/>
        <v>97</v>
      </c>
      <c r="G41">
        <v>102.4</v>
      </c>
      <c r="H41">
        <v>92</v>
      </c>
      <c r="I41">
        <v>0.59</v>
      </c>
      <c r="J41" t="s">
        <v>14</v>
      </c>
      <c r="K41" t="s">
        <v>14</v>
      </c>
      <c r="L41" t="s">
        <v>15</v>
      </c>
    </row>
    <row r="42" spans="1:12" x14ac:dyDescent="0.35">
      <c r="A42" t="s">
        <v>12</v>
      </c>
      <c r="B42" t="s">
        <v>56</v>
      </c>
      <c r="C42" s="2">
        <v>45903</v>
      </c>
      <c r="D42">
        <v>200</v>
      </c>
      <c r="E42">
        <v>192.6</v>
      </c>
      <c r="F42" s="1">
        <f t="shared" si="1"/>
        <v>96.3</v>
      </c>
      <c r="G42">
        <v>99.9</v>
      </c>
      <c r="H42">
        <v>98.9</v>
      </c>
      <c r="I42">
        <v>0.21</v>
      </c>
      <c r="J42" t="s">
        <v>14</v>
      </c>
      <c r="K42" t="s">
        <v>14</v>
      </c>
      <c r="L42" t="s">
        <v>15</v>
      </c>
    </row>
    <row r="43" spans="1:12" x14ac:dyDescent="0.35">
      <c r="A43" t="s">
        <v>12</v>
      </c>
      <c r="B43" t="s">
        <v>57</v>
      </c>
      <c r="C43" s="2">
        <v>45909</v>
      </c>
      <c r="D43">
        <v>200</v>
      </c>
      <c r="E43">
        <v>192.2</v>
      </c>
      <c r="F43" s="1">
        <f t="shared" si="1"/>
        <v>96.1</v>
      </c>
      <c r="G43">
        <v>102.1</v>
      </c>
      <c r="H43">
        <v>94.3</v>
      </c>
      <c r="I43">
        <v>0.39</v>
      </c>
      <c r="J43" t="s">
        <v>14</v>
      </c>
      <c r="K43" t="s">
        <v>14</v>
      </c>
      <c r="L43" t="s">
        <v>15</v>
      </c>
    </row>
    <row r="44" spans="1:12" x14ac:dyDescent="0.35">
      <c r="A44" t="s">
        <v>12</v>
      </c>
      <c r="B44" t="s">
        <v>58</v>
      </c>
      <c r="C44" s="2">
        <v>45915</v>
      </c>
      <c r="D44">
        <v>200</v>
      </c>
      <c r="E44">
        <v>198</v>
      </c>
      <c r="F44" s="1">
        <f t="shared" si="1"/>
        <v>99</v>
      </c>
      <c r="G44">
        <v>102.4</v>
      </c>
      <c r="H44">
        <v>93.5</v>
      </c>
      <c r="I44">
        <v>0.05</v>
      </c>
      <c r="J44" t="s">
        <v>14</v>
      </c>
      <c r="K44" t="s">
        <v>14</v>
      </c>
      <c r="L44" t="s">
        <v>15</v>
      </c>
    </row>
    <row r="45" spans="1:12" x14ac:dyDescent="0.35">
      <c r="A45" t="s">
        <v>12</v>
      </c>
      <c r="B45" t="s">
        <v>59</v>
      </c>
      <c r="C45" s="2">
        <v>45921</v>
      </c>
      <c r="D45">
        <v>200</v>
      </c>
      <c r="E45">
        <v>190.2</v>
      </c>
      <c r="F45" s="1">
        <f t="shared" si="1"/>
        <v>95.1</v>
      </c>
      <c r="G45">
        <v>101.4</v>
      </c>
      <c r="H45">
        <v>97</v>
      </c>
      <c r="I45">
        <v>0.12</v>
      </c>
      <c r="J45" t="s">
        <v>14</v>
      </c>
      <c r="K45" t="s">
        <v>14</v>
      </c>
      <c r="L45" t="s">
        <v>15</v>
      </c>
    </row>
    <row r="46" spans="1:12" x14ac:dyDescent="0.35">
      <c r="A46" t="s">
        <v>12</v>
      </c>
      <c r="B46" t="s">
        <v>60</v>
      </c>
      <c r="C46" s="2">
        <v>45927</v>
      </c>
      <c r="D46">
        <v>200</v>
      </c>
      <c r="E46">
        <v>198.6</v>
      </c>
      <c r="F46" s="1">
        <f t="shared" si="1"/>
        <v>99.3</v>
      </c>
      <c r="G46">
        <v>101.4</v>
      </c>
      <c r="H46">
        <v>92.4</v>
      </c>
      <c r="I46">
        <v>0.32</v>
      </c>
      <c r="J46" t="s">
        <v>14</v>
      </c>
      <c r="K46" t="s">
        <v>14</v>
      </c>
      <c r="L46" t="s">
        <v>15</v>
      </c>
    </row>
    <row r="47" spans="1:12" x14ac:dyDescent="0.35">
      <c r="A47" t="s">
        <v>12</v>
      </c>
      <c r="B47" t="s">
        <v>61</v>
      </c>
      <c r="C47" s="2">
        <v>45933</v>
      </c>
      <c r="D47">
        <v>200</v>
      </c>
      <c r="E47">
        <v>200.4</v>
      </c>
      <c r="F47" s="1">
        <f t="shared" si="1"/>
        <v>100.2</v>
      </c>
      <c r="G47">
        <v>102.4</v>
      </c>
      <c r="H47">
        <v>96.1</v>
      </c>
      <c r="I47">
        <v>0.45</v>
      </c>
      <c r="J47" t="s">
        <v>14</v>
      </c>
      <c r="K47" t="s">
        <v>14</v>
      </c>
      <c r="L47" t="s">
        <v>15</v>
      </c>
    </row>
    <row r="48" spans="1:12" x14ac:dyDescent="0.35">
      <c r="A48" t="s">
        <v>12</v>
      </c>
      <c r="B48" t="s">
        <v>62</v>
      </c>
      <c r="C48" s="2">
        <v>45939</v>
      </c>
      <c r="D48">
        <v>200</v>
      </c>
      <c r="E48">
        <v>197.8</v>
      </c>
      <c r="F48" s="1">
        <f t="shared" si="1"/>
        <v>98.9</v>
      </c>
      <c r="G48">
        <v>100.5</v>
      </c>
      <c r="H48">
        <v>90.8</v>
      </c>
      <c r="I48">
        <v>0.13</v>
      </c>
      <c r="J48" t="s">
        <v>14</v>
      </c>
      <c r="K48" t="s">
        <v>14</v>
      </c>
      <c r="L48" t="s">
        <v>15</v>
      </c>
    </row>
    <row r="49" spans="1:12" x14ac:dyDescent="0.35">
      <c r="A49" t="s">
        <v>12</v>
      </c>
      <c r="B49" t="s">
        <v>63</v>
      </c>
      <c r="C49" s="2">
        <v>45945</v>
      </c>
      <c r="D49">
        <v>200</v>
      </c>
      <c r="E49">
        <v>191.4</v>
      </c>
      <c r="F49" s="1">
        <f t="shared" si="1"/>
        <v>95.7</v>
      </c>
      <c r="G49">
        <v>99</v>
      </c>
      <c r="H49">
        <v>92.7</v>
      </c>
      <c r="I49">
        <v>0.36</v>
      </c>
      <c r="J49" t="s">
        <v>14</v>
      </c>
      <c r="K49" t="s">
        <v>14</v>
      </c>
      <c r="L49" t="s">
        <v>15</v>
      </c>
    </row>
    <row r="50" spans="1:12" x14ac:dyDescent="0.35">
      <c r="A50" t="s">
        <v>12</v>
      </c>
      <c r="B50" t="s">
        <v>64</v>
      </c>
      <c r="C50" s="2">
        <v>45951</v>
      </c>
      <c r="D50">
        <v>200</v>
      </c>
      <c r="E50">
        <v>200.8</v>
      </c>
      <c r="F50" s="1">
        <f t="shared" si="1"/>
        <v>100.4</v>
      </c>
      <c r="G50">
        <v>97.8</v>
      </c>
      <c r="H50">
        <v>94.3</v>
      </c>
      <c r="I50">
        <v>0.56000000000000005</v>
      </c>
      <c r="J50" t="s">
        <v>14</v>
      </c>
      <c r="K50" t="s">
        <v>14</v>
      </c>
      <c r="L50" t="s">
        <v>15</v>
      </c>
    </row>
    <row r="51" spans="1:12" x14ac:dyDescent="0.35">
      <c r="A51" t="s">
        <v>12</v>
      </c>
      <c r="B51" t="s">
        <v>65</v>
      </c>
      <c r="C51" s="2">
        <v>45957</v>
      </c>
      <c r="D51">
        <v>200</v>
      </c>
      <c r="E51">
        <v>195.2</v>
      </c>
      <c r="F51" s="1">
        <f t="shared" si="1"/>
        <v>97.6</v>
      </c>
      <c r="G51">
        <v>101.6</v>
      </c>
      <c r="H51">
        <v>93.7</v>
      </c>
      <c r="I51">
        <v>0.1</v>
      </c>
      <c r="J51" t="s">
        <v>14</v>
      </c>
      <c r="K51" t="s">
        <v>14</v>
      </c>
      <c r="L51" t="s">
        <v>15</v>
      </c>
    </row>
    <row r="52" spans="1:12" x14ac:dyDescent="0.35">
      <c r="A52" t="s">
        <v>12</v>
      </c>
      <c r="B52" t="s">
        <v>66</v>
      </c>
      <c r="C52" s="2">
        <v>45963</v>
      </c>
      <c r="D52">
        <v>200</v>
      </c>
      <c r="E52">
        <v>195</v>
      </c>
      <c r="F52" s="1">
        <f t="shared" si="1"/>
        <v>97.5</v>
      </c>
      <c r="G52">
        <v>102.4</v>
      </c>
      <c r="H52">
        <v>94.7</v>
      </c>
      <c r="I52">
        <v>0.48</v>
      </c>
      <c r="J52" t="s">
        <v>14</v>
      </c>
      <c r="K52" t="s">
        <v>14</v>
      </c>
      <c r="L52" t="s">
        <v>15</v>
      </c>
    </row>
    <row r="53" spans="1:12" x14ac:dyDescent="0.35">
      <c r="A53" t="s">
        <v>12</v>
      </c>
      <c r="B53" t="s">
        <v>67</v>
      </c>
      <c r="C53" s="2">
        <v>45969</v>
      </c>
      <c r="D53">
        <v>200</v>
      </c>
      <c r="E53">
        <v>197</v>
      </c>
      <c r="F53" s="1">
        <f t="shared" si="1"/>
        <v>98.5</v>
      </c>
      <c r="G53">
        <v>102</v>
      </c>
      <c r="H53">
        <v>89.8</v>
      </c>
      <c r="I53">
        <v>0.13</v>
      </c>
      <c r="J53" t="s">
        <v>18</v>
      </c>
      <c r="K53" t="s">
        <v>14</v>
      </c>
      <c r="L53" t="s">
        <v>15</v>
      </c>
    </row>
    <row r="54" spans="1:12" x14ac:dyDescent="0.35">
      <c r="A54" t="s">
        <v>68</v>
      </c>
      <c r="B54" t="s">
        <v>69</v>
      </c>
      <c r="C54" s="2">
        <v>45663</v>
      </c>
      <c r="D54">
        <v>200</v>
      </c>
      <c r="E54">
        <v>196.6</v>
      </c>
      <c r="F54" s="1">
        <f t="shared" si="1"/>
        <v>98.3</v>
      </c>
      <c r="G54">
        <v>103.1</v>
      </c>
      <c r="H54">
        <v>98</v>
      </c>
      <c r="I54">
        <v>0.09</v>
      </c>
      <c r="J54" t="s">
        <v>14</v>
      </c>
      <c r="K54" t="s">
        <v>14</v>
      </c>
      <c r="L54" t="s">
        <v>15</v>
      </c>
    </row>
    <row r="55" spans="1:12" x14ac:dyDescent="0.35">
      <c r="A55" t="s">
        <v>68</v>
      </c>
      <c r="B55" t="s">
        <v>70</v>
      </c>
      <c r="C55" s="2">
        <v>45671</v>
      </c>
      <c r="D55">
        <v>200</v>
      </c>
      <c r="E55">
        <v>192.6</v>
      </c>
      <c r="F55" s="1">
        <f t="shared" si="1"/>
        <v>96.3</v>
      </c>
      <c r="G55">
        <v>102.4</v>
      </c>
      <c r="H55">
        <v>98.2</v>
      </c>
      <c r="I55">
        <v>0.43</v>
      </c>
      <c r="J55" t="s">
        <v>14</v>
      </c>
      <c r="K55" t="s">
        <v>14</v>
      </c>
      <c r="L55" t="s">
        <v>15</v>
      </c>
    </row>
    <row r="56" spans="1:12" x14ac:dyDescent="0.35">
      <c r="A56" t="s">
        <v>68</v>
      </c>
      <c r="B56" t="s">
        <v>71</v>
      </c>
      <c r="C56" s="2">
        <v>45679</v>
      </c>
      <c r="D56">
        <v>200</v>
      </c>
      <c r="E56">
        <v>194</v>
      </c>
      <c r="F56" s="1">
        <f t="shared" si="1"/>
        <v>97</v>
      </c>
      <c r="G56">
        <v>102</v>
      </c>
      <c r="H56">
        <v>92.2</v>
      </c>
      <c r="I56">
        <v>0.18</v>
      </c>
      <c r="J56" t="s">
        <v>14</v>
      </c>
      <c r="K56" t="s">
        <v>14</v>
      </c>
      <c r="L56" t="s">
        <v>15</v>
      </c>
    </row>
    <row r="57" spans="1:12" x14ac:dyDescent="0.35">
      <c r="A57" t="s">
        <v>68</v>
      </c>
      <c r="B57" t="s">
        <v>72</v>
      </c>
      <c r="C57" s="2">
        <v>45687</v>
      </c>
      <c r="D57">
        <v>200</v>
      </c>
      <c r="E57">
        <v>190.8</v>
      </c>
      <c r="F57" s="1">
        <f t="shared" si="1"/>
        <v>95.4</v>
      </c>
      <c r="G57">
        <v>100.6</v>
      </c>
      <c r="H57">
        <v>93</v>
      </c>
      <c r="I57">
        <v>0.54</v>
      </c>
      <c r="J57" t="s">
        <v>14</v>
      </c>
      <c r="K57" t="s">
        <v>14</v>
      </c>
      <c r="L57" t="s">
        <v>15</v>
      </c>
    </row>
    <row r="58" spans="1:12" x14ac:dyDescent="0.35">
      <c r="A58" t="s">
        <v>68</v>
      </c>
      <c r="B58" t="s">
        <v>73</v>
      </c>
      <c r="C58" s="2">
        <v>45695</v>
      </c>
      <c r="D58">
        <v>200</v>
      </c>
      <c r="E58">
        <v>194.6</v>
      </c>
      <c r="F58" s="1">
        <f t="shared" si="1"/>
        <v>97.3</v>
      </c>
      <c r="G58">
        <v>101.8</v>
      </c>
      <c r="H58">
        <v>88.2</v>
      </c>
      <c r="I58">
        <v>0.53</v>
      </c>
      <c r="J58" t="s">
        <v>14</v>
      </c>
      <c r="K58" t="s">
        <v>14</v>
      </c>
      <c r="L58" t="s">
        <v>15</v>
      </c>
    </row>
    <row r="59" spans="1:12" x14ac:dyDescent="0.35">
      <c r="A59" t="s">
        <v>68</v>
      </c>
      <c r="B59" t="s">
        <v>74</v>
      </c>
      <c r="C59" s="2">
        <v>45703</v>
      </c>
      <c r="D59">
        <v>200</v>
      </c>
      <c r="E59">
        <v>190.4</v>
      </c>
      <c r="F59" s="1">
        <f t="shared" si="1"/>
        <v>95.2</v>
      </c>
      <c r="G59">
        <v>99.4</v>
      </c>
      <c r="H59">
        <v>92.1</v>
      </c>
      <c r="I59">
        <v>0.34</v>
      </c>
      <c r="J59" t="s">
        <v>14</v>
      </c>
      <c r="K59" t="s">
        <v>14</v>
      </c>
      <c r="L59" t="s">
        <v>15</v>
      </c>
    </row>
    <row r="60" spans="1:12" x14ac:dyDescent="0.35">
      <c r="A60" t="s">
        <v>68</v>
      </c>
      <c r="B60" t="s">
        <v>75</v>
      </c>
      <c r="C60" s="2">
        <v>45711</v>
      </c>
      <c r="D60">
        <v>200</v>
      </c>
      <c r="E60">
        <v>201.2</v>
      </c>
      <c r="F60" s="1">
        <f t="shared" si="1"/>
        <v>100.6</v>
      </c>
      <c r="G60">
        <v>101.3</v>
      </c>
      <c r="H60">
        <v>89.1</v>
      </c>
      <c r="I60">
        <v>7.0000000000000007E-2</v>
      </c>
      <c r="J60" t="s">
        <v>14</v>
      </c>
      <c r="K60" t="s">
        <v>14</v>
      </c>
      <c r="L60" t="s">
        <v>15</v>
      </c>
    </row>
    <row r="61" spans="1:12" x14ac:dyDescent="0.35">
      <c r="A61" t="s">
        <v>68</v>
      </c>
      <c r="B61" t="s">
        <v>76</v>
      </c>
      <c r="C61" s="2">
        <v>45719</v>
      </c>
      <c r="D61">
        <v>200</v>
      </c>
      <c r="E61">
        <v>197.8</v>
      </c>
      <c r="F61" s="1">
        <f t="shared" si="1"/>
        <v>98.9</v>
      </c>
      <c r="G61">
        <v>97.2</v>
      </c>
      <c r="H61">
        <v>95.5</v>
      </c>
      <c r="I61">
        <v>0.39</v>
      </c>
      <c r="J61" t="s">
        <v>14</v>
      </c>
      <c r="K61" t="s">
        <v>14</v>
      </c>
      <c r="L61" t="s">
        <v>15</v>
      </c>
    </row>
    <row r="62" spans="1:12" x14ac:dyDescent="0.35">
      <c r="A62" t="s">
        <v>68</v>
      </c>
      <c r="B62" t="s">
        <v>77</v>
      </c>
      <c r="C62" s="2">
        <v>45727</v>
      </c>
      <c r="D62">
        <v>200</v>
      </c>
      <c r="E62">
        <v>197.4</v>
      </c>
      <c r="F62" s="1">
        <f t="shared" si="1"/>
        <v>98.7</v>
      </c>
      <c r="G62">
        <v>103.2</v>
      </c>
      <c r="H62">
        <v>96.6</v>
      </c>
      <c r="I62">
        <v>0.57999999999999996</v>
      </c>
      <c r="J62" t="s">
        <v>18</v>
      </c>
      <c r="K62" t="s">
        <v>14</v>
      </c>
      <c r="L62" t="s">
        <v>15</v>
      </c>
    </row>
    <row r="63" spans="1:12" x14ac:dyDescent="0.35">
      <c r="A63" t="s">
        <v>68</v>
      </c>
      <c r="B63" t="s">
        <v>78</v>
      </c>
      <c r="C63" s="2">
        <v>45735</v>
      </c>
      <c r="D63">
        <v>200</v>
      </c>
      <c r="E63">
        <v>200.8</v>
      </c>
      <c r="F63" s="1">
        <f t="shared" si="1"/>
        <v>100.4</v>
      </c>
      <c r="G63">
        <v>98.9</v>
      </c>
      <c r="H63">
        <v>89.5</v>
      </c>
      <c r="I63">
        <v>0.05</v>
      </c>
      <c r="J63" t="s">
        <v>14</v>
      </c>
      <c r="K63" t="s">
        <v>14</v>
      </c>
      <c r="L63" t="s">
        <v>15</v>
      </c>
    </row>
    <row r="64" spans="1:12" x14ac:dyDescent="0.35">
      <c r="A64" t="s">
        <v>68</v>
      </c>
      <c r="B64" t="s">
        <v>79</v>
      </c>
      <c r="C64" s="2">
        <v>45743</v>
      </c>
      <c r="D64">
        <v>200</v>
      </c>
      <c r="E64">
        <v>198.8</v>
      </c>
      <c r="F64" s="1">
        <f t="shared" si="1"/>
        <v>99.4</v>
      </c>
      <c r="G64">
        <v>102.5</v>
      </c>
      <c r="H64">
        <v>91.5</v>
      </c>
      <c r="I64">
        <v>0.22</v>
      </c>
      <c r="J64" t="s">
        <v>14</v>
      </c>
      <c r="K64" t="s">
        <v>14</v>
      </c>
      <c r="L64" t="s">
        <v>15</v>
      </c>
    </row>
    <row r="65" spans="1:12" x14ac:dyDescent="0.35">
      <c r="A65" t="s">
        <v>68</v>
      </c>
      <c r="B65" t="s">
        <v>80</v>
      </c>
      <c r="C65" s="2">
        <v>45751</v>
      </c>
      <c r="D65">
        <v>200</v>
      </c>
      <c r="E65">
        <v>191.6</v>
      </c>
      <c r="F65" s="1">
        <f t="shared" si="1"/>
        <v>95.8</v>
      </c>
      <c r="G65">
        <v>98.2</v>
      </c>
      <c r="H65">
        <v>91.8</v>
      </c>
      <c r="I65">
        <v>0.43</v>
      </c>
      <c r="J65" t="s">
        <v>18</v>
      </c>
      <c r="K65" t="s">
        <v>14</v>
      </c>
      <c r="L65" t="s">
        <v>15</v>
      </c>
    </row>
    <row r="66" spans="1:12" x14ac:dyDescent="0.35">
      <c r="A66" t="s">
        <v>68</v>
      </c>
      <c r="B66" t="s">
        <v>81</v>
      </c>
      <c r="C66" s="2">
        <v>45759</v>
      </c>
      <c r="D66">
        <v>200</v>
      </c>
      <c r="E66">
        <v>188.2</v>
      </c>
      <c r="F66" s="1">
        <f t="shared" ref="F66:F97" si="2">E66/D66*100</f>
        <v>94.1</v>
      </c>
      <c r="G66">
        <v>101.8</v>
      </c>
      <c r="H66">
        <v>94.4</v>
      </c>
      <c r="I66">
        <v>0.4</v>
      </c>
      <c r="J66" t="s">
        <v>14</v>
      </c>
      <c r="K66" t="s">
        <v>14</v>
      </c>
      <c r="L66" t="s">
        <v>15</v>
      </c>
    </row>
    <row r="67" spans="1:12" x14ac:dyDescent="0.35">
      <c r="A67" t="s">
        <v>68</v>
      </c>
      <c r="B67" t="s">
        <v>82</v>
      </c>
      <c r="C67" s="2">
        <v>45767</v>
      </c>
      <c r="D67">
        <v>200</v>
      </c>
      <c r="E67">
        <v>200.2</v>
      </c>
      <c r="F67" s="1">
        <f t="shared" si="2"/>
        <v>100.1</v>
      </c>
      <c r="G67">
        <v>98.8</v>
      </c>
      <c r="H67">
        <v>89.5</v>
      </c>
      <c r="I67">
        <v>0.56000000000000005</v>
      </c>
      <c r="J67" t="s">
        <v>14</v>
      </c>
      <c r="K67" t="s">
        <v>14</v>
      </c>
      <c r="L67" t="s">
        <v>15</v>
      </c>
    </row>
    <row r="68" spans="1:12" x14ac:dyDescent="0.35">
      <c r="A68" t="s">
        <v>68</v>
      </c>
      <c r="B68" t="s">
        <v>83</v>
      </c>
      <c r="C68" s="2">
        <v>45775</v>
      </c>
      <c r="D68">
        <v>200</v>
      </c>
      <c r="E68">
        <v>191.2</v>
      </c>
      <c r="F68" s="1">
        <f t="shared" si="2"/>
        <v>95.6</v>
      </c>
      <c r="G68">
        <v>101.4</v>
      </c>
      <c r="H68">
        <v>98.4</v>
      </c>
      <c r="I68">
        <v>0.08</v>
      </c>
      <c r="J68" t="s">
        <v>14</v>
      </c>
      <c r="K68" t="s">
        <v>14</v>
      </c>
      <c r="L68" t="s">
        <v>15</v>
      </c>
    </row>
    <row r="69" spans="1:12" x14ac:dyDescent="0.35">
      <c r="A69" t="s">
        <v>68</v>
      </c>
      <c r="B69" t="s">
        <v>84</v>
      </c>
      <c r="C69" s="2">
        <v>45783</v>
      </c>
      <c r="D69">
        <v>200</v>
      </c>
      <c r="E69">
        <v>194</v>
      </c>
      <c r="F69" s="1">
        <f t="shared" si="2"/>
        <v>97</v>
      </c>
      <c r="G69">
        <v>98.8</v>
      </c>
      <c r="H69">
        <v>90.7</v>
      </c>
      <c r="I69">
        <v>0.19</v>
      </c>
      <c r="J69" t="s">
        <v>14</v>
      </c>
      <c r="K69" t="s">
        <v>14</v>
      </c>
      <c r="L69" t="s">
        <v>15</v>
      </c>
    </row>
    <row r="70" spans="1:12" x14ac:dyDescent="0.35">
      <c r="A70" t="s">
        <v>68</v>
      </c>
      <c r="B70" t="s">
        <v>85</v>
      </c>
      <c r="C70" s="2">
        <v>45791</v>
      </c>
      <c r="D70">
        <v>200</v>
      </c>
      <c r="E70">
        <v>189</v>
      </c>
      <c r="F70" s="1">
        <f t="shared" si="2"/>
        <v>94.5</v>
      </c>
      <c r="G70">
        <v>99.3</v>
      </c>
      <c r="H70">
        <v>96</v>
      </c>
      <c r="I70">
        <v>0.54</v>
      </c>
      <c r="J70" t="s">
        <v>14</v>
      </c>
      <c r="K70" t="s">
        <v>14</v>
      </c>
      <c r="L70" t="s">
        <v>15</v>
      </c>
    </row>
    <row r="71" spans="1:12" x14ac:dyDescent="0.35">
      <c r="A71" t="s">
        <v>68</v>
      </c>
      <c r="B71" t="s">
        <v>86</v>
      </c>
      <c r="C71" s="2">
        <v>45799</v>
      </c>
      <c r="D71">
        <v>200</v>
      </c>
      <c r="E71">
        <v>201.8</v>
      </c>
      <c r="F71" s="1">
        <f t="shared" si="2"/>
        <v>100.9</v>
      </c>
      <c r="G71">
        <v>103.3</v>
      </c>
      <c r="H71">
        <v>96.6</v>
      </c>
      <c r="I71">
        <v>0.53</v>
      </c>
      <c r="J71" t="s">
        <v>14</v>
      </c>
      <c r="K71" t="s">
        <v>14</v>
      </c>
      <c r="L71" t="s">
        <v>15</v>
      </c>
    </row>
    <row r="72" spans="1:12" x14ac:dyDescent="0.35">
      <c r="A72" t="s">
        <v>68</v>
      </c>
      <c r="B72" t="s">
        <v>87</v>
      </c>
      <c r="C72" s="2">
        <v>45807</v>
      </c>
      <c r="D72">
        <v>200</v>
      </c>
      <c r="E72">
        <v>193.6</v>
      </c>
      <c r="F72" s="1">
        <f t="shared" si="2"/>
        <v>96.8</v>
      </c>
      <c r="G72">
        <v>97.9</v>
      </c>
      <c r="H72">
        <v>97.3</v>
      </c>
      <c r="I72">
        <v>0.51</v>
      </c>
      <c r="J72" t="s">
        <v>14</v>
      </c>
      <c r="K72" t="s">
        <v>14</v>
      </c>
      <c r="L72" t="s">
        <v>15</v>
      </c>
    </row>
    <row r="73" spans="1:12" x14ac:dyDescent="0.35">
      <c r="A73" t="s">
        <v>68</v>
      </c>
      <c r="B73" t="s">
        <v>88</v>
      </c>
      <c r="C73" s="2">
        <v>45815</v>
      </c>
      <c r="D73">
        <v>200</v>
      </c>
      <c r="E73">
        <v>192</v>
      </c>
      <c r="F73" s="1">
        <f t="shared" si="2"/>
        <v>96</v>
      </c>
      <c r="G73">
        <v>99.6</v>
      </c>
      <c r="H73">
        <v>91</v>
      </c>
      <c r="I73">
        <v>0.05</v>
      </c>
      <c r="J73" t="s">
        <v>18</v>
      </c>
      <c r="K73" t="s">
        <v>14</v>
      </c>
      <c r="L73" t="s">
        <v>15</v>
      </c>
    </row>
    <row r="74" spans="1:12" x14ac:dyDescent="0.35">
      <c r="A74" t="s">
        <v>68</v>
      </c>
      <c r="B74" t="s">
        <v>89</v>
      </c>
      <c r="C74" s="2">
        <v>45823</v>
      </c>
      <c r="D74">
        <v>200</v>
      </c>
      <c r="E74">
        <v>198.2</v>
      </c>
      <c r="F74" s="1">
        <f t="shared" si="2"/>
        <v>99.1</v>
      </c>
      <c r="G74">
        <v>96.5</v>
      </c>
      <c r="H74">
        <v>97.3</v>
      </c>
      <c r="I74">
        <v>0.09</v>
      </c>
      <c r="J74" t="s">
        <v>14</v>
      </c>
      <c r="K74" t="s">
        <v>14</v>
      </c>
      <c r="L74" t="s">
        <v>15</v>
      </c>
    </row>
    <row r="75" spans="1:12" x14ac:dyDescent="0.35">
      <c r="A75" t="s">
        <v>68</v>
      </c>
      <c r="B75" t="s">
        <v>90</v>
      </c>
      <c r="C75" s="2">
        <v>45831</v>
      </c>
      <c r="D75">
        <v>200</v>
      </c>
      <c r="E75">
        <v>193.2</v>
      </c>
      <c r="F75" s="1">
        <f t="shared" si="2"/>
        <v>96.6</v>
      </c>
      <c r="G75">
        <v>102.8</v>
      </c>
      <c r="H75">
        <v>90.2</v>
      </c>
      <c r="I75">
        <v>0.15</v>
      </c>
      <c r="J75" t="s">
        <v>14</v>
      </c>
      <c r="K75" t="s">
        <v>14</v>
      </c>
      <c r="L75" t="s">
        <v>15</v>
      </c>
    </row>
    <row r="76" spans="1:12" x14ac:dyDescent="0.35">
      <c r="A76" t="s">
        <v>68</v>
      </c>
      <c r="B76" t="s">
        <v>91</v>
      </c>
      <c r="C76" s="2">
        <v>45839</v>
      </c>
      <c r="D76">
        <v>200</v>
      </c>
      <c r="E76">
        <v>197.2</v>
      </c>
      <c r="F76" s="1">
        <f t="shared" si="2"/>
        <v>98.6</v>
      </c>
      <c r="G76">
        <v>102.6</v>
      </c>
      <c r="H76">
        <v>92.1</v>
      </c>
      <c r="I76">
        <v>0.06</v>
      </c>
      <c r="J76" t="s">
        <v>14</v>
      </c>
      <c r="K76" t="s">
        <v>14</v>
      </c>
      <c r="L76" t="s">
        <v>15</v>
      </c>
    </row>
    <row r="77" spans="1:12" x14ac:dyDescent="0.35">
      <c r="A77" t="s">
        <v>68</v>
      </c>
      <c r="B77" t="s">
        <v>92</v>
      </c>
      <c r="C77" s="2">
        <v>45847</v>
      </c>
      <c r="D77">
        <v>200</v>
      </c>
      <c r="E77">
        <v>192.8</v>
      </c>
      <c r="F77" s="1">
        <f t="shared" si="2"/>
        <v>96.4</v>
      </c>
      <c r="G77">
        <v>102.4</v>
      </c>
      <c r="H77">
        <v>94.3</v>
      </c>
      <c r="I77">
        <v>7.0000000000000007E-2</v>
      </c>
      <c r="J77" t="s">
        <v>14</v>
      </c>
      <c r="K77" t="s">
        <v>14</v>
      </c>
      <c r="L77" t="s">
        <v>15</v>
      </c>
    </row>
    <row r="78" spans="1:12" x14ac:dyDescent="0.35">
      <c r="A78" t="s">
        <v>68</v>
      </c>
      <c r="B78" t="s">
        <v>93</v>
      </c>
      <c r="C78" s="2">
        <v>45855</v>
      </c>
      <c r="D78">
        <v>200</v>
      </c>
      <c r="E78">
        <v>195</v>
      </c>
      <c r="F78" s="1">
        <f t="shared" si="2"/>
        <v>97.5</v>
      </c>
      <c r="G78">
        <v>98.4</v>
      </c>
      <c r="H78">
        <v>89.4</v>
      </c>
      <c r="I78">
        <v>0.4</v>
      </c>
      <c r="J78" t="s">
        <v>14</v>
      </c>
      <c r="K78" t="s">
        <v>14</v>
      </c>
      <c r="L78" t="s">
        <v>15</v>
      </c>
    </row>
    <row r="79" spans="1:12" x14ac:dyDescent="0.35">
      <c r="A79" t="s">
        <v>68</v>
      </c>
      <c r="B79" t="s">
        <v>94</v>
      </c>
      <c r="C79" s="2">
        <v>45863</v>
      </c>
      <c r="D79">
        <v>200</v>
      </c>
      <c r="E79">
        <v>195.8</v>
      </c>
      <c r="F79" s="1">
        <f t="shared" si="2"/>
        <v>97.9</v>
      </c>
      <c r="G79">
        <v>102</v>
      </c>
      <c r="H79">
        <v>95.1</v>
      </c>
      <c r="I79">
        <v>0.1</v>
      </c>
      <c r="J79" t="s">
        <v>14</v>
      </c>
      <c r="K79" t="s">
        <v>14</v>
      </c>
      <c r="L79" t="s">
        <v>15</v>
      </c>
    </row>
    <row r="80" spans="1:12" x14ac:dyDescent="0.35">
      <c r="A80" t="s">
        <v>68</v>
      </c>
      <c r="B80" t="s">
        <v>95</v>
      </c>
      <c r="C80" s="2">
        <v>45871</v>
      </c>
      <c r="D80">
        <v>200</v>
      </c>
      <c r="E80">
        <v>198.8</v>
      </c>
      <c r="F80" s="1">
        <f t="shared" si="2"/>
        <v>99.4</v>
      </c>
      <c r="G80">
        <v>102</v>
      </c>
      <c r="H80">
        <v>89.9</v>
      </c>
      <c r="I80">
        <v>0.47</v>
      </c>
      <c r="J80" t="s">
        <v>14</v>
      </c>
      <c r="K80" t="s">
        <v>14</v>
      </c>
      <c r="L80" t="s">
        <v>15</v>
      </c>
    </row>
    <row r="81" spans="1:12" x14ac:dyDescent="0.35">
      <c r="A81" t="s">
        <v>68</v>
      </c>
      <c r="B81" t="s">
        <v>96</v>
      </c>
      <c r="C81" s="2">
        <v>45879</v>
      </c>
      <c r="D81">
        <v>200</v>
      </c>
      <c r="E81">
        <v>200.4</v>
      </c>
      <c r="F81" s="1">
        <f t="shared" si="2"/>
        <v>100.2</v>
      </c>
      <c r="G81">
        <v>101.4</v>
      </c>
      <c r="H81">
        <v>95.3</v>
      </c>
      <c r="I81">
        <v>0.44</v>
      </c>
      <c r="J81" t="s">
        <v>14</v>
      </c>
      <c r="K81" t="s">
        <v>14</v>
      </c>
      <c r="L81" t="s">
        <v>15</v>
      </c>
    </row>
    <row r="82" spans="1:12" x14ac:dyDescent="0.35">
      <c r="A82" t="s">
        <v>68</v>
      </c>
      <c r="B82" t="s">
        <v>97</v>
      </c>
      <c r="C82" s="2">
        <v>45887</v>
      </c>
      <c r="D82">
        <v>200</v>
      </c>
      <c r="E82">
        <v>201.8</v>
      </c>
      <c r="F82" s="1">
        <f t="shared" si="2"/>
        <v>100.9</v>
      </c>
      <c r="G82">
        <v>96.6</v>
      </c>
      <c r="H82">
        <v>89.4</v>
      </c>
      <c r="I82">
        <v>0.24</v>
      </c>
      <c r="J82" t="s">
        <v>14</v>
      </c>
      <c r="K82" t="s">
        <v>14</v>
      </c>
      <c r="L82" t="s">
        <v>15</v>
      </c>
    </row>
    <row r="83" spans="1:12" x14ac:dyDescent="0.35">
      <c r="A83" t="s">
        <v>68</v>
      </c>
      <c r="B83" t="s">
        <v>98</v>
      </c>
      <c r="C83" s="2">
        <v>45895</v>
      </c>
      <c r="D83">
        <v>200</v>
      </c>
      <c r="E83">
        <v>197.6</v>
      </c>
      <c r="F83" s="1">
        <f t="shared" si="2"/>
        <v>98.8</v>
      </c>
      <c r="G83">
        <v>102.3</v>
      </c>
      <c r="H83">
        <v>97.3</v>
      </c>
      <c r="I83">
        <v>0.3</v>
      </c>
      <c r="J83" t="s">
        <v>14</v>
      </c>
      <c r="K83" t="s">
        <v>14</v>
      </c>
      <c r="L83" t="s">
        <v>15</v>
      </c>
    </row>
    <row r="84" spans="1:12" x14ac:dyDescent="0.35">
      <c r="A84" t="s">
        <v>68</v>
      </c>
      <c r="B84" t="s">
        <v>99</v>
      </c>
      <c r="C84" s="2">
        <v>45903</v>
      </c>
      <c r="D84">
        <v>200</v>
      </c>
      <c r="E84">
        <v>190.2</v>
      </c>
      <c r="F84" s="1">
        <f t="shared" si="2"/>
        <v>95.1</v>
      </c>
      <c r="G84">
        <v>98.7</v>
      </c>
      <c r="H84">
        <v>95</v>
      </c>
      <c r="I84">
        <v>0.35</v>
      </c>
      <c r="J84" t="s">
        <v>14</v>
      </c>
      <c r="K84" t="s">
        <v>14</v>
      </c>
      <c r="L84" t="s">
        <v>15</v>
      </c>
    </row>
    <row r="85" spans="1:12" x14ac:dyDescent="0.35">
      <c r="A85" t="s">
        <v>68</v>
      </c>
      <c r="B85" t="s">
        <v>100</v>
      </c>
      <c r="C85" s="2">
        <v>45911</v>
      </c>
      <c r="D85">
        <v>200</v>
      </c>
      <c r="E85">
        <v>197.8</v>
      </c>
      <c r="F85" s="1">
        <f t="shared" si="2"/>
        <v>98.9</v>
      </c>
      <c r="G85">
        <v>98.4</v>
      </c>
      <c r="H85">
        <v>88.7</v>
      </c>
      <c r="I85">
        <v>0.42</v>
      </c>
      <c r="J85" t="s">
        <v>14</v>
      </c>
      <c r="K85" t="s">
        <v>14</v>
      </c>
      <c r="L85" t="s">
        <v>15</v>
      </c>
    </row>
    <row r="86" spans="1:12" x14ac:dyDescent="0.35">
      <c r="A86" t="s">
        <v>68</v>
      </c>
      <c r="B86" t="s">
        <v>101</v>
      </c>
      <c r="C86" s="2">
        <v>45919</v>
      </c>
      <c r="D86">
        <v>200</v>
      </c>
      <c r="E86">
        <v>198.6</v>
      </c>
      <c r="F86" s="1">
        <f t="shared" si="2"/>
        <v>99.3</v>
      </c>
      <c r="G86">
        <v>101.1</v>
      </c>
      <c r="H86">
        <v>91.7</v>
      </c>
      <c r="I86">
        <v>0.27</v>
      </c>
      <c r="J86" t="s">
        <v>14</v>
      </c>
      <c r="K86" t="s">
        <v>14</v>
      </c>
      <c r="L86" t="s">
        <v>15</v>
      </c>
    </row>
    <row r="87" spans="1:12" x14ac:dyDescent="0.35">
      <c r="A87" t="s">
        <v>68</v>
      </c>
      <c r="B87" t="s">
        <v>102</v>
      </c>
      <c r="C87" s="2">
        <v>45927</v>
      </c>
      <c r="D87">
        <v>200</v>
      </c>
      <c r="E87">
        <v>194.6</v>
      </c>
      <c r="F87" s="1">
        <f t="shared" si="2"/>
        <v>97.3</v>
      </c>
      <c r="G87">
        <v>96.8</v>
      </c>
      <c r="H87">
        <v>96.5</v>
      </c>
      <c r="I87">
        <v>0.59</v>
      </c>
      <c r="J87" t="s">
        <v>14</v>
      </c>
      <c r="K87" t="s">
        <v>14</v>
      </c>
      <c r="L87" t="s">
        <v>15</v>
      </c>
    </row>
    <row r="88" spans="1:12" x14ac:dyDescent="0.35">
      <c r="A88" t="s">
        <v>68</v>
      </c>
      <c r="B88" t="s">
        <v>103</v>
      </c>
      <c r="C88" s="2">
        <v>45935</v>
      </c>
      <c r="D88">
        <v>200</v>
      </c>
      <c r="E88">
        <v>188.2</v>
      </c>
      <c r="F88" s="1">
        <f t="shared" si="2"/>
        <v>94.1</v>
      </c>
      <c r="G88">
        <v>103.4</v>
      </c>
      <c r="H88">
        <v>93.6</v>
      </c>
      <c r="I88">
        <v>0.44</v>
      </c>
      <c r="J88" t="s">
        <v>14</v>
      </c>
      <c r="K88" t="s">
        <v>14</v>
      </c>
      <c r="L88" t="s">
        <v>15</v>
      </c>
    </row>
    <row r="89" spans="1:12" x14ac:dyDescent="0.35">
      <c r="A89" t="s">
        <v>68</v>
      </c>
      <c r="B89" t="s">
        <v>104</v>
      </c>
      <c r="C89" s="2">
        <v>45943</v>
      </c>
      <c r="D89">
        <v>200</v>
      </c>
      <c r="E89">
        <v>188.4</v>
      </c>
      <c r="F89" s="1">
        <f t="shared" si="2"/>
        <v>94.2</v>
      </c>
      <c r="G89">
        <v>97.4</v>
      </c>
      <c r="H89">
        <v>91</v>
      </c>
      <c r="I89">
        <v>0.37</v>
      </c>
      <c r="J89" t="s">
        <v>14</v>
      </c>
      <c r="K89" t="s">
        <v>14</v>
      </c>
      <c r="L89" t="s">
        <v>15</v>
      </c>
    </row>
    <row r="90" spans="1:12" x14ac:dyDescent="0.35">
      <c r="A90" t="s">
        <v>68</v>
      </c>
      <c r="B90" t="s">
        <v>105</v>
      </c>
      <c r="C90" s="2">
        <v>45951</v>
      </c>
      <c r="D90">
        <v>200</v>
      </c>
      <c r="E90">
        <v>190.2</v>
      </c>
      <c r="F90" s="1">
        <f t="shared" si="2"/>
        <v>95.1</v>
      </c>
      <c r="G90">
        <v>101.2</v>
      </c>
      <c r="H90">
        <v>97.1</v>
      </c>
      <c r="I90">
        <v>0.35</v>
      </c>
      <c r="J90" t="s">
        <v>14</v>
      </c>
      <c r="K90" t="s">
        <v>14</v>
      </c>
      <c r="L90" t="s">
        <v>15</v>
      </c>
    </row>
    <row r="91" spans="1:12" x14ac:dyDescent="0.35">
      <c r="A91" t="s">
        <v>68</v>
      </c>
      <c r="B91" t="s">
        <v>106</v>
      </c>
      <c r="C91" s="2">
        <v>45959</v>
      </c>
      <c r="D91">
        <v>200</v>
      </c>
      <c r="E91">
        <v>195.4</v>
      </c>
      <c r="F91" s="1">
        <f t="shared" si="2"/>
        <v>97.7</v>
      </c>
      <c r="G91">
        <v>103.4</v>
      </c>
      <c r="H91">
        <v>92.3</v>
      </c>
      <c r="I91">
        <v>0.31</v>
      </c>
      <c r="J91" t="s">
        <v>18</v>
      </c>
      <c r="K91" t="s">
        <v>14</v>
      </c>
      <c r="L91" t="s">
        <v>15</v>
      </c>
    </row>
    <row r="92" spans="1:12" x14ac:dyDescent="0.35">
      <c r="A92" t="s">
        <v>68</v>
      </c>
      <c r="B92" t="s">
        <v>107</v>
      </c>
      <c r="C92" s="2">
        <v>45967</v>
      </c>
      <c r="D92">
        <v>200</v>
      </c>
      <c r="E92">
        <v>191.6</v>
      </c>
      <c r="F92" s="1">
        <f t="shared" si="2"/>
        <v>95.8</v>
      </c>
      <c r="G92">
        <v>99.8</v>
      </c>
      <c r="H92">
        <v>98.2</v>
      </c>
      <c r="I92">
        <v>0.16</v>
      </c>
      <c r="J92" t="s">
        <v>14</v>
      </c>
      <c r="K92" t="s">
        <v>14</v>
      </c>
      <c r="L92" t="s">
        <v>15</v>
      </c>
    </row>
    <row r="93" spans="1:12" x14ac:dyDescent="0.35">
      <c r="A93" t="s">
        <v>68</v>
      </c>
      <c r="B93" t="s">
        <v>108</v>
      </c>
      <c r="C93" s="2">
        <v>45975</v>
      </c>
      <c r="D93">
        <v>200</v>
      </c>
      <c r="E93">
        <v>196</v>
      </c>
      <c r="F93" s="1">
        <f t="shared" si="2"/>
        <v>98</v>
      </c>
      <c r="G93">
        <v>100.1</v>
      </c>
      <c r="H93">
        <v>92.8</v>
      </c>
      <c r="I93">
        <v>0.37</v>
      </c>
      <c r="J93" t="s">
        <v>14</v>
      </c>
      <c r="K93" t="s">
        <v>14</v>
      </c>
      <c r="L93" t="s">
        <v>15</v>
      </c>
    </row>
    <row r="94" spans="1:12" x14ac:dyDescent="0.35">
      <c r="A94" t="s">
        <v>109</v>
      </c>
      <c r="B94" t="s">
        <v>110</v>
      </c>
      <c r="C94" s="2">
        <v>45663</v>
      </c>
      <c r="D94">
        <v>200</v>
      </c>
      <c r="E94">
        <v>198</v>
      </c>
      <c r="F94" s="1">
        <f t="shared" si="2"/>
        <v>99</v>
      </c>
      <c r="G94">
        <v>101.5</v>
      </c>
      <c r="H94">
        <v>96.3</v>
      </c>
      <c r="I94">
        <v>0.36</v>
      </c>
      <c r="J94" t="s">
        <v>18</v>
      </c>
      <c r="K94" t="s">
        <v>14</v>
      </c>
      <c r="L94" t="s">
        <v>15</v>
      </c>
    </row>
    <row r="95" spans="1:12" x14ac:dyDescent="0.35">
      <c r="A95" t="s">
        <v>109</v>
      </c>
      <c r="B95" t="s">
        <v>111</v>
      </c>
      <c r="C95" s="2">
        <v>45670</v>
      </c>
      <c r="D95">
        <v>200</v>
      </c>
      <c r="E95">
        <v>189</v>
      </c>
      <c r="F95" s="1">
        <f t="shared" si="2"/>
        <v>94.5</v>
      </c>
      <c r="G95">
        <v>101.8</v>
      </c>
      <c r="H95">
        <v>93.4</v>
      </c>
      <c r="I95">
        <v>0.36</v>
      </c>
      <c r="J95" t="s">
        <v>14</v>
      </c>
      <c r="K95" t="s">
        <v>14</v>
      </c>
      <c r="L95" t="s">
        <v>15</v>
      </c>
    </row>
    <row r="96" spans="1:12" x14ac:dyDescent="0.35">
      <c r="A96" t="s">
        <v>109</v>
      </c>
      <c r="B96" t="s">
        <v>112</v>
      </c>
      <c r="C96" s="2">
        <v>45677</v>
      </c>
      <c r="D96">
        <v>200</v>
      </c>
      <c r="E96">
        <v>196.4</v>
      </c>
      <c r="F96" s="1">
        <f t="shared" si="2"/>
        <v>98.2</v>
      </c>
      <c r="G96">
        <v>99.4</v>
      </c>
      <c r="H96">
        <v>89.1</v>
      </c>
      <c r="I96">
        <v>0.12</v>
      </c>
      <c r="J96" t="s">
        <v>14</v>
      </c>
      <c r="K96" t="s">
        <v>14</v>
      </c>
      <c r="L96" t="s">
        <v>15</v>
      </c>
    </row>
    <row r="97" spans="1:12" x14ac:dyDescent="0.35">
      <c r="A97" t="s">
        <v>109</v>
      </c>
      <c r="B97" t="s">
        <v>113</v>
      </c>
      <c r="C97" s="2">
        <v>45684</v>
      </c>
      <c r="D97">
        <v>200</v>
      </c>
      <c r="E97">
        <v>194</v>
      </c>
      <c r="F97" s="1">
        <f t="shared" si="2"/>
        <v>97</v>
      </c>
      <c r="G97">
        <v>102.6</v>
      </c>
      <c r="H97">
        <v>93.2</v>
      </c>
      <c r="I97">
        <v>0.21</v>
      </c>
      <c r="J97" t="s">
        <v>14</v>
      </c>
      <c r="K97" t="s">
        <v>14</v>
      </c>
      <c r="L97" t="s">
        <v>15</v>
      </c>
    </row>
    <row r="98" spans="1:12" x14ac:dyDescent="0.35">
      <c r="A98" t="s">
        <v>109</v>
      </c>
      <c r="B98" t="s">
        <v>114</v>
      </c>
      <c r="C98" s="2">
        <v>45691</v>
      </c>
      <c r="D98">
        <v>200</v>
      </c>
      <c r="E98">
        <v>192.4</v>
      </c>
      <c r="F98" s="1">
        <f t="shared" ref="F98:F129" si="3">E98/D98*100</f>
        <v>96.2</v>
      </c>
      <c r="G98">
        <v>100.1</v>
      </c>
      <c r="H98">
        <v>93.2</v>
      </c>
      <c r="I98">
        <v>0.06</v>
      </c>
      <c r="J98" t="s">
        <v>14</v>
      </c>
      <c r="K98" t="s">
        <v>14</v>
      </c>
      <c r="L98" t="s">
        <v>15</v>
      </c>
    </row>
    <row r="99" spans="1:12" x14ac:dyDescent="0.35">
      <c r="A99" t="s">
        <v>109</v>
      </c>
      <c r="B99" t="s">
        <v>115</v>
      </c>
      <c r="C99" s="2">
        <v>45698</v>
      </c>
      <c r="D99">
        <v>200</v>
      </c>
      <c r="E99">
        <v>194.2</v>
      </c>
      <c r="F99" s="1">
        <f t="shared" si="3"/>
        <v>97.1</v>
      </c>
      <c r="G99">
        <v>98.9</v>
      </c>
      <c r="H99">
        <v>95</v>
      </c>
      <c r="I99">
        <v>0.35</v>
      </c>
      <c r="J99" t="s">
        <v>14</v>
      </c>
      <c r="K99" t="s">
        <v>14</v>
      </c>
      <c r="L99" t="s">
        <v>15</v>
      </c>
    </row>
    <row r="100" spans="1:12" x14ac:dyDescent="0.35">
      <c r="A100" t="s">
        <v>109</v>
      </c>
      <c r="B100" t="s">
        <v>116</v>
      </c>
      <c r="C100" s="2">
        <v>45705</v>
      </c>
      <c r="D100">
        <v>200</v>
      </c>
      <c r="E100">
        <v>199</v>
      </c>
      <c r="F100" s="1">
        <f t="shared" si="3"/>
        <v>99.5</v>
      </c>
      <c r="G100">
        <v>97.7</v>
      </c>
      <c r="H100">
        <v>93.2</v>
      </c>
      <c r="I100">
        <v>0.25</v>
      </c>
      <c r="J100" t="s">
        <v>14</v>
      </c>
      <c r="K100" t="s">
        <v>14</v>
      </c>
      <c r="L100" t="s">
        <v>15</v>
      </c>
    </row>
    <row r="101" spans="1:12" x14ac:dyDescent="0.35">
      <c r="A101" t="s">
        <v>109</v>
      </c>
      <c r="B101" t="s">
        <v>117</v>
      </c>
      <c r="C101" s="2">
        <v>45712</v>
      </c>
      <c r="D101">
        <v>200</v>
      </c>
      <c r="E101">
        <v>192.2</v>
      </c>
      <c r="F101" s="1">
        <f t="shared" si="3"/>
        <v>96.1</v>
      </c>
      <c r="G101">
        <v>97.9</v>
      </c>
      <c r="H101">
        <v>96.6</v>
      </c>
      <c r="I101">
        <v>0.36</v>
      </c>
      <c r="J101" t="s">
        <v>14</v>
      </c>
      <c r="K101" t="s">
        <v>14</v>
      </c>
      <c r="L101" t="s">
        <v>15</v>
      </c>
    </row>
    <row r="102" spans="1:12" x14ac:dyDescent="0.35">
      <c r="A102" t="s">
        <v>109</v>
      </c>
      <c r="B102" t="s">
        <v>118</v>
      </c>
      <c r="C102" s="2">
        <v>45719</v>
      </c>
      <c r="D102">
        <v>200</v>
      </c>
      <c r="E102">
        <v>197.4</v>
      </c>
      <c r="F102" s="1">
        <f t="shared" si="3"/>
        <v>98.7</v>
      </c>
      <c r="G102">
        <v>99.2</v>
      </c>
      <c r="H102">
        <v>92.6</v>
      </c>
      <c r="I102">
        <v>0.28999999999999998</v>
      </c>
      <c r="J102" t="s">
        <v>14</v>
      </c>
      <c r="K102" t="s">
        <v>14</v>
      </c>
      <c r="L102" t="s">
        <v>15</v>
      </c>
    </row>
    <row r="103" spans="1:12" x14ac:dyDescent="0.35">
      <c r="A103" t="s">
        <v>109</v>
      </c>
      <c r="B103" t="s">
        <v>119</v>
      </c>
      <c r="C103" s="2">
        <v>45726</v>
      </c>
      <c r="D103">
        <v>200</v>
      </c>
      <c r="E103">
        <v>193.4</v>
      </c>
      <c r="F103" s="1">
        <f t="shared" si="3"/>
        <v>96.7</v>
      </c>
      <c r="G103">
        <v>97.9</v>
      </c>
      <c r="H103">
        <v>96.6</v>
      </c>
      <c r="I103">
        <v>0.13</v>
      </c>
      <c r="J103" t="s">
        <v>14</v>
      </c>
      <c r="K103" t="s">
        <v>14</v>
      </c>
      <c r="L103" t="s">
        <v>15</v>
      </c>
    </row>
    <row r="104" spans="1:12" x14ac:dyDescent="0.35">
      <c r="A104" t="s">
        <v>109</v>
      </c>
      <c r="B104" t="s">
        <v>120</v>
      </c>
      <c r="C104" s="2">
        <v>45733</v>
      </c>
      <c r="D104">
        <v>200</v>
      </c>
      <c r="E104">
        <v>201</v>
      </c>
      <c r="F104" s="1">
        <f t="shared" si="3"/>
        <v>100.49999999999999</v>
      </c>
      <c r="G104">
        <v>102.3</v>
      </c>
      <c r="H104">
        <v>97</v>
      </c>
      <c r="I104">
        <v>0.27</v>
      </c>
      <c r="J104" t="s">
        <v>14</v>
      </c>
      <c r="K104" t="s">
        <v>14</v>
      </c>
      <c r="L104" t="s">
        <v>15</v>
      </c>
    </row>
    <row r="105" spans="1:12" x14ac:dyDescent="0.35">
      <c r="A105" t="s">
        <v>109</v>
      </c>
      <c r="B105" t="s">
        <v>121</v>
      </c>
      <c r="C105" s="2">
        <v>45740</v>
      </c>
      <c r="D105">
        <v>200</v>
      </c>
      <c r="E105">
        <v>191.4</v>
      </c>
      <c r="F105" s="1">
        <f t="shared" si="3"/>
        <v>95.7</v>
      </c>
      <c r="G105">
        <v>101.7</v>
      </c>
      <c r="H105">
        <v>98.6</v>
      </c>
      <c r="I105">
        <v>0.5</v>
      </c>
      <c r="J105" t="s">
        <v>14</v>
      </c>
      <c r="K105" t="s">
        <v>14</v>
      </c>
      <c r="L105" t="s">
        <v>15</v>
      </c>
    </row>
    <row r="106" spans="1:12" x14ac:dyDescent="0.35">
      <c r="A106" t="s">
        <v>109</v>
      </c>
      <c r="B106" t="s">
        <v>122</v>
      </c>
      <c r="C106" s="2">
        <v>45747</v>
      </c>
      <c r="D106">
        <v>200</v>
      </c>
      <c r="E106">
        <v>192.8</v>
      </c>
      <c r="F106" s="1">
        <f t="shared" si="3"/>
        <v>96.4</v>
      </c>
      <c r="G106">
        <v>98.8</v>
      </c>
      <c r="H106">
        <v>93.7</v>
      </c>
      <c r="I106">
        <v>0.41</v>
      </c>
      <c r="J106" t="s">
        <v>14</v>
      </c>
      <c r="K106" t="s">
        <v>14</v>
      </c>
      <c r="L106" t="s">
        <v>15</v>
      </c>
    </row>
    <row r="107" spans="1:12" x14ac:dyDescent="0.35">
      <c r="A107" t="s">
        <v>109</v>
      </c>
      <c r="B107" t="s">
        <v>123</v>
      </c>
      <c r="C107" s="2">
        <v>45754</v>
      </c>
      <c r="D107">
        <v>200</v>
      </c>
      <c r="E107">
        <v>194.8</v>
      </c>
      <c r="F107" s="1">
        <f t="shared" si="3"/>
        <v>97.4</v>
      </c>
      <c r="G107">
        <v>98.2</v>
      </c>
      <c r="H107">
        <v>90.6</v>
      </c>
      <c r="I107">
        <v>0.45</v>
      </c>
      <c r="J107" t="s">
        <v>14</v>
      </c>
      <c r="K107" t="s">
        <v>14</v>
      </c>
      <c r="L107" t="s">
        <v>15</v>
      </c>
    </row>
    <row r="108" spans="1:12" x14ac:dyDescent="0.35">
      <c r="A108" t="s">
        <v>109</v>
      </c>
      <c r="B108" t="s">
        <v>124</v>
      </c>
      <c r="C108" s="2">
        <v>45761</v>
      </c>
      <c r="D108">
        <v>200</v>
      </c>
      <c r="E108">
        <v>200</v>
      </c>
      <c r="F108" s="1">
        <f t="shared" si="3"/>
        <v>100</v>
      </c>
      <c r="G108">
        <v>102.6</v>
      </c>
      <c r="H108">
        <v>98.2</v>
      </c>
      <c r="I108">
        <v>0.52</v>
      </c>
      <c r="J108" t="s">
        <v>14</v>
      </c>
      <c r="K108" t="s">
        <v>14</v>
      </c>
      <c r="L108" t="s">
        <v>15</v>
      </c>
    </row>
    <row r="109" spans="1:12" x14ac:dyDescent="0.35">
      <c r="A109" t="s">
        <v>109</v>
      </c>
      <c r="B109" t="s">
        <v>125</v>
      </c>
      <c r="C109" s="2">
        <v>45768</v>
      </c>
      <c r="D109">
        <v>200</v>
      </c>
      <c r="E109">
        <v>188.8</v>
      </c>
      <c r="F109" s="1">
        <f t="shared" si="3"/>
        <v>94.4</v>
      </c>
      <c r="G109">
        <v>97.6</v>
      </c>
      <c r="H109">
        <v>91.6</v>
      </c>
      <c r="I109">
        <v>0.28999999999999998</v>
      </c>
      <c r="J109" t="s">
        <v>14</v>
      </c>
      <c r="K109" t="s">
        <v>14</v>
      </c>
      <c r="L109" t="s">
        <v>15</v>
      </c>
    </row>
    <row r="110" spans="1:12" x14ac:dyDescent="0.35">
      <c r="A110" t="s">
        <v>109</v>
      </c>
      <c r="B110" t="s">
        <v>126</v>
      </c>
      <c r="C110" s="2">
        <v>45775</v>
      </c>
      <c r="D110">
        <v>200</v>
      </c>
      <c r="E110">
        <v>199</v>
      </c>
      <c r="F110" s="1">
        <f t="shared" si="3"/>
        <v>99.5</v>
      </c>
      <c r="G110">
        <v>98.4</v>
      </c>
      <c r="H110">
        <v>88</v>
      </c>
      <c r="I110">
        <v>0.36</v>
      </c>
      <c r="J110" t="s">
        <v>14</v>
      </c>
      <c r="K110" t="s">
        <v>14</v>
      </c>
      <c r="L110" t="s">
        <v>15</v>
      </c>
    </row>
    <row r="111" spans="1:12" x14ac:dyDescent="0.35">
      <c r="A111" t="s">
        <v>109</v>
      </c>
      <c r="B111" t="s">
        <v>127</v>
      </c>
      <c r="C111" s="2">
        <v>45782</v>
      </c>
      <c r="D111">
        <v>200</v>
      </c>
      <c r="E111">
        <v>194.4</v>
      </c>
      <c r="F111" s="1">
        <f t="shared" si="3"/>
        <v>97.2</v>
      </c>
      <c r="G111">
        <v>102.1</v>
      </c>
      <c r="H111">
        <v>89.2</v>
      </c>
      <c r="I111">
        <v>0.32</v>
      </c>
      <c r="J111" t="s">
        <v>14</v>
      </c>
      <c r="K111" t="s">
        <v>14</v>
      </c>
      <c r="L111" t="s">
        <v>15</v>
      </c>
    </row>
    <row r="112" spans="1:12" x14ac:dyDescent="0.35">
      <c r="A112" t="s">
        <v>109</v>
      </c>
      <c r="B112" t="s">
        <v>128</v>
      </c>
      <c r="C112" s="2">
        <v>45789</v>
      </c>
      <c r="D112">
        <v>200</v>
      </c>
      <c r="E112">
        <v>191.6</v>
      </c>
      <c r="F112" s="1">
        <f t="shared" si="3"/>
        <v>95.8</v>
      </c>
      <c r="G112">
        <v>97.7</v>
      </c>
      <c r="H112">
        <v>97.9</v>
      </c>
      <c r="I112">
        <v>0.32</v>
      </c>
      <c r="J112" t="s">
        <v>14</v>
      </c>
      <c r="K112" t="s">
        <v>14</v>
      </c>
      <c r="L112" t="s">
        <v>15</v>
      </c>
    </row>
    <row r="113" spans="1:12" x14ac:dyDescent="0.35">
      <c r="A113" t="s">
        <v>109</v>
      </c>
      <c r="B113" t="s">
        <v>129</v>
      </c>
      <c r="C113" s="2">
        <v>45796</v>
      </c>
      <c r="D113">
        <v>200</v>
      </c>
      <c r="E113">
        <v>201.8</v>
      </c>
      <c r="F113" s="1">
        <f t="shared" si="3"/>
        <v>100.9</v>
      </c>
      <c r="G113">
        <v>98.6</v>
      </c>
      <c r="H113">
        <v>90.2</v>
      </c>
      <c r="I113">
        <v>0.39</v>
      </c>
      <c r="J113" t="s">
        <v>14</v>
      </c>
      <c r="K113" t="s">
        <v>14</v>
      </c>
      <c r="L113" t="s">
        <v>15</v>
      </c>
    </row>
    <row r="114" spans="1:12" x14ac:dyDescent="0.35">
      <c r="A114" t="s">
        <v>109</v>
      </c>
      <c r="B114" t="s">
        <v>130</v>
      </c>
      <c r="C114" s="2">
        <v>45803</v>
      </c>
      <c r="D114">
        <v>200</v>
      </c>
      <c r="E114">
        <v>198.4</v>
      </c>
      <c r="F114" s="1">
        <f t="shared" si="3"/>
        <v>99.2</v>
      </c>
      <c r="G114">
        <v>102.3</v>
      </c>
      <c r="H114">
        <v>90.9</v>
      </c>
      <c r="I114">
        <v>0.21</v>
      </c>
      <c r="J114" t="s">
        <v>14</v>
      </c>
      <c r="K114" t="s">
        <v>14</v>
      </c>
      <c r="L114" t="s">
        <v>15</v>
      </c>
    </row>
    <row r="115" spans="1:12" x14ac:dyDescent="0.35">
      <c r="A115" t="s">
        <v>109</v>
      </c>
      <c r="B115" t="s">
        <v>131</v>
      </c>
      <c r="C115" s="2">
        <v>45810</v>
      </c>
      <c r="D115">
        <v>200</v>
      </c>
      <c r="E115">
        <v>191.2</v>
      </c>
      <c r="F115" s="1">
        <f t="shared" si="3"/>
        <v>95.6</v>
      </c>
      <c r="G115">
        <v>98</v>
      </c>
      <c r="H115">
        <v>94.8</v>
      </c>
      <c r="I115">
        <v>0.26</v>
      </c>
      <c r="J115" t="s">
        <v>14</v>
      </c>
      <c r="K115" t="s">
        <v>14</v>
      </c>
      <c r="L115" t="s">
        <v>15</v>
      </c>
    </row>
    <row r="116" spans="1:12" x14ac:dyDescent="0.35">
      <c r="A116" t="s">
        <v>109</v>
      </c>
      <c r="B116" t="s">
        <v>132</v>
      </c>
      <c r="C116" s="2">
        <v>45817</v>
      </c>
      <c r="D116">
        <v>200</v>
      </c>
      <c r="E116">
        <v>192.2</v>
      </c>
      <c r="F116" s="1">
        <f t="shared" si="3"/>
        <v>96.1</v>
      </c>
      <c r="G116">
        <v>97.2</v>
      </c>
      <c r="H116">
        <v>90.9</v>
      </c>
      <c r="I116">
        <v>0.36</v>
      </c>
      <c r="J116" t="s">
        <v>14</v>
      </c>
      <c r="K116" t="s">
        <v>14</v>
      </c>
      <c r="L116" t="s">
        <v>15</v>
      </c>
    </row>
    <row r="117" spans="1:12" x14ac:dyDescent="0.35">
      <c r="A117" t="s">
        <v>109</v>
      </c>
      <c r="B117" t="s">
        <v>133</v>
      </c>
      <c r="C117" s="2">
        <v>45824</v>
      </c>
      <c r="D117">
        <v>200</v>
      </c>
      <c r="E117">
        <v>197.8</v>
      </c>
      <c r="F117" s="1">
        <f t="shared" si="3"/>
        <v>98.9</v>
      </c>
      <c r="G117">
        <v>101.4</v>
      </c>
      <c r="H117">
        <v>94.5</v>
      </c>
      <c r="I117">
        <v>0.56999999999999995</v>
      </c>
      <c r="J117" t="s">
        <v>14</v>
      </c>
      <c r="K117" t="s">
        <v>14</v>
      </c>
      <c r="L117" t="s">
        <v>15</v>
      </c>
    </row>
    <row r="118" spans="1:12" x14ac:dyDescent="0.35">
      <c r="A118" t="s">
        <v>109</v>
      </c>
      <c r="B118" t="s">
        <v>134</v>
      </c>
      <c r="C118" s="2">
        <v>45831</v>
      </c>
      <c r="D118">
        <v>200</v>
      </c>
      <c r="E118">
        <v>190.2</v>
      </c>
      <c r="F118" s="1">
        <f t="shared" si="3"/>
        <v>95.1</v>
      </c>
      <c r="G118">
        <v>99.6</v>
      </c>
      <c r="H118">
        <v>94.9</v>
      </c>
      <c r="I118">
        <v>0.19</v>
      </c>
      <c r="J118" t="s">
        <v>14</v>
      </c>
      <c r="K118" t="s">
        <v>14</v>
      </c>
      <c r="L118" t="s">
        <v>15</v>
      </c>
    </row>
    <row r="119" spans="1:12" x14ac:dyDescent="0.35">
      <c r="A119" t="s">
        <v>109</v>
      </c>
      <c r="B119" t="s">
        <v>135</v>
      </c>
      <c r="C119" s="2">
        <v>45838</v>
      </c>
      <c r="D119">
        <v>200</v>
      </c>
      <c r="E119">
        <v>192.6</v>
      </c>
      <c r="F119" s="1">
        <f t="shared" si="3"/>
        <v>96.3</v>
      </c>
      <c r="G119">
        <v>100.1</v>
      </c>
      <c r="H119">
        <v>95.6</v>
      </c>
      <c r="I119">
        <v>0.26</v>
      </c>
      <c r="J119" t="s">
        <v>14</v>
      </c>
      <c r="K119" t="s">
        <v>14</v>
      </c>
      <c r="L119" t="s">
        <v>15</v>
      </c>
    </row>
    <row r="120" spans="1:12" x14ac:dyDescent="0.35">
      <c r="A120" t="s">
        <v>109</v>
      </c>
      <c r="B120" t="s">
        <v>136</v>
      </c>
      <c r="C120" s="2">
        <v>45845</v>
      </c>
      <c r="D120">
        <v>200</v>
      </c>
      <c r="E120">
        <v>192.6</v>
      </c>
      <c r="F120" s="1">
        <f t="shared" si="3"/>
        <v>96.3</v>
      </c>
      <c r="G120">
        <v>98.2</v>
      </c>
      <c r="H120">
        <v>89.1</v>
      </c>
      <c r="I120">
        <v>0.49</v>
      </c>
      <c r="J120" t="s">
        <v>14</v>
      </c>
      <c r="K120" t="s">
        <v>14</v>
      </c>
      <c r="L120" t="s">
        <v>15</v>
      </c>
    </row>
    <row r="121" spans="1:12" x14ac:dyDescent="0.35">
      <c r="A121" t="s">
        <v>109</v>
      </c>
      <c r="B121" t="s">
        <v>137</v>
      </c>
      <c r="C121" s="2">
        <v>45852</v>
      </c>
      <c r="D121">
        <v>200</v>
      </c>
      <c r="E121">
        <v>194.2</v>
      </c>
      <c r="F121" s="1">
        <f t="shared" si="3"/>
        <v>97.1</v>
      </c>
      <c r="G121">
        <v>101.8</v>
      </c>
      <c r="H121">
        <v>92.1</v>
      </c>
      <c r="I121">
        <v>0.45</v>
      </c>
      <c r="J121" t="s">
        <v>14</v>
      </c>
      <c r="K121" t="s">
        <v>14</v>
      </c>
      <c r="L121" t="s">
        <v>15</v>
      </c>
    </row>
    <row r="122" spans="1:12" x14ac:dyDescent="0.35">
      <c r="A122" t="s">
        <v>109</v>
      </c>
      <c r="B122" t="s">
        <v>138</v>
      </c>
      <c r="C122" s="2">
        <v>45859</v>
      </c>
      <c r="D122">
        <v>200</v>
      </c>
      <c r="E122">
        <v>192.6</v>
      </c>
      <c r="F122" s="1">
        <f t="shared" si="3"/>
        <v>96.3</v>
      </c>
      <c r="G122">
        <v>100.6</v>
      </c>
      <c r="H122">
        <v>97.3</v>
      </c>
      <c r="I122">
        <v>0.21</v>
      </c>
      <c r="J122" t="s">
        <v>14</v>
      </c>
      <c r="K122" t="s">
        <v>14</v>
      </c>
      <c r="L122" t="s">
        <v>15</v>
      </c>
    </row>
    <row r="123" spans="1:12" x14ac:dyDescent="0.35">
      <c r="A123" t="s">
        <v>109</v>
      </c>
      <c r="B123" t="s">
        <v>139</v>
      </c>
      <c r="C123" s="2">
        <v>45866</v>
      </c>
      <c r="D123">
        <v>200</v>
      </c>
      <c r="E123">
        <v>188.4</v>
      </c>
      <c r="F123" s="1">
        <f t="shared" si="3"/>
        <v>94.2</v>
      </c>
      <c r="G123">
        <v>100.4</v>
      </c>
      <c r="H123">
        <v>98.8</v>
      </c>
      <c r="I123">
        <v>0.39</v>
      </c>
      <c r="J123" t="s">
        <v>14</v>
      </c>
      <c r="K123" t="s">
        <v>14</v>
      </c>
      <c r="L123" t="s">
        <v>15</v>
      </c>
    </row>
    <row r="124" spans="1:12" x14ac:dyDescent="0.35">
      <c r="A124" t="s">
        <v>109</v>
      </c>
      <c r="B124" t="s">
        <v>140</v>
      </c>
      <c r="C124" s="2">
        <v>45873</v>
      </c>
      <c r="D124">
        <v>200</v>
      </c>
      <c r="E124">
        <v>191.4</v>
      </c>
      <c r="F124" s="1">
        <f t="shared" si="3"/>
        <v>95.7</v>
      </c>
      <c r="G124">
        <v>99.6</v>
      </c>
      <c r="H124">
        <v>88.7</v>
      </c>
      <c r="I124">
        <v>0.59</v>
      </c>
      <c r="J124" t="s">
        <v>18</v>
      </c>
      <c r="K124" t="s">
        <v>14</v>
      </c>
      <c r="L124" t="s">
        <v>15</v>
      </c>
    </row>
    <row r="125" spans="1:12" x14ac:dyDescent="0.35">
      <c r="A125" t="s">
        <v>109</v>
      </c>
      <c r="B125" t="s">
        <v>141</v>
      </c>
      <c r="C125" s="2">
        <v>45880</v>
      </c>
      <c r="D125">
        <v>200</v>
      </c>
      <c r="E125">
        <v>201.4</v>
      </c>
      <c r="F125" s="1">
        <f t="shared" si="3"/>
        <v>100.70000000000002</v>
      </c>
      <c r="G125">
        <v>98.8</v>
      </c>
      <c r="H125">
        <v>98.1</v>
      </c>
      <c r="I125">
        <v>0.22</v>
      </c>
      <c r="J125" t="s">
        <v>14</v>
      </c>
      <c r="K125" t="s">
        <v>14</v>
      </c>
      <c r="L125" t="s">
        <v>15</v>
      </c>
    </row>
    <row r="126" spans="1:12" x14ac:dyDescent="0.35">
      <c r="A126" t="s">
        <v>109</v>
      </c>
      <c r="B126" t="s">
        <v>142</v>
      </c>
      <c r="C126" s="2">
        <v>45887</v>
      </c>
      <c r="D126">
        <v>200</v>
      </c>
      <c r="E126">
        <v>198.4</v>
      </c>
      <c r="F126" s="1">
        <f t="shared" si="3"/>
        <v>99.2</v>
      </c>
      <c r="G126">
        <v>101.4</v>
      </c>
      <c r="H126">
        <v>90.5</v>
      </c>
      <c r="I126">
        <v>0.45</v>
      </c>
      <c r="J126" t="s">
        <v>14</v>
      </c>
      <c r="K126" t="s">
        <v>14</v>
      </c>
      <c r="L126" t="s">
        <v>15</v>
      </c>
    </row>
    <row r="127" spans="1:12" x14ac:dyDescent="0.35">
      <c r="A127" t="s">
        <v>109</v>
      </c>
      <c r="B127" t="s">
        <v>143</v>
      </c>
      <c r="C127" s="2">
        <v>45894</v>
      </c>
      <c r="D127">
        <v>200</v>
      </c>
      <c r="E127">
        <v>193.8</v>
      </c>
      <c r="F127" s="1">
        <f t="shared" si="3"/>
        <v>96.9</v>
      </c>
      <c r="G127">
        <v>101.5</v>
      </c>
      <c r="H127">
        <v>91.1</v>
      </c>
      <c r="I127">
        <v>0.43</v>
      </c>
      <c r="J127" t="s">
        <v>14</v>
      </c>
      <c r="K127" t="s">
        <v>14</v>
      </c>
      <c r="L127" t="s">
        <v>15</v>
      </c>
    </row>
    <row r="128" spans="1:12" x14ac:dyDescent="0.35">
      <c r="A128" t="s">
        <v>109</v>
      </c>
      <c r="B128" t="s">
        <v>144</v>
      </c>
      <c r="C128" s="2">
        <v>45901</v>
      </c>
      <c r="D128">
        <v>200</v>
      </c>
      <c r="E128">
        <v>196.4</v>
      </c>
      <c r="F128" s="1">
        <f t="shared" si="3"/>
        <v>98.2</v>
      </c>
      <c r="G128">
        <v>101.2</v>
      </c>
      <c r="H128">
        <v>92.5</v>
      </c>
      <c r="I128">
        <v>0.42</v>
      </c>
      <c r="J128" t="s">
        <v>14</v>
      </c>
      <c r="K128" t="s">
        <v>14</v>
      </c>
      <c r="L128" t="s">
        <v>15</v>
      </c>
    </row>
    <row r="129" spans="1:12" x14ac:dyDescent="0.35">
      <c r="A129" t="s">
        <v>109</v>
      </c>
      <c r="B129" t="s">
        <v>145</v>
      </c>
      <c r="C129" s="2">
        <v>45908</v>
      </c>
      <c r="D129">
        <v>200</v>
      </c>
      <c r="E129">
        <v>199.8</v>
      </c>
      <c r="F129" s="1">
        <f t="shared" si="3"/>
        <v>99.9</v>
      </c>
      <c r="G129">
        <v>97.7</v>
      </c>
      <c r="H129">
        <v>92.4</v>
      </c>
      <c r="I129">
        <v>0.36</v>
      </c>
      <c r="J129" t="s">
        <v>14</v>
      </c>
      <c r="K129" t="s">
        <v>14</v>
      </c>
      <c r="L129" t="s">
        <v>15</v>
      </c>
    </row>
    <row r="130" spans="1:12" x14ac:dyDescent="0.35">
      <c r="A130" t="s">
        <v>109</v>
      </c>
      <c r="B130" t="s">
        <v>146</v>
      </c>
      <c r="C130" s="2">
        <v>45915</v>
      </c>
      <c r="D130">
        <v>200</v>
      </c>
      <c r="E130">
        <v>200.2</v>
      </c>
      <c r="F130" s="1">
        <f t="shared" ref="F130:F161" si="4">E130/D130*100</f>
        <v>100.1</v>
      </c>
      <c r="G130">
        <v>97.7</v>
      </c>
      <c r="H130">
        <v>95.1</v>
      </c>
      <c r="I130">
        <v>0.52</v>
      </c>
      <c r="J130" t="s">
        <v>14</v>
      </c>
      <c r="K130" t="s">
        <v>14</v>
      </c>
      <c r="L130" t="s">
        <v>15</v>
      </c>
    </row>
    <row r="131" spans="1:12" x14ac:dyDescent="0.35">
      <c r="A131" t="s">
        <v>109</v>
      </c>
      <c r="B131" t="s">
        <v>147</v>
      </c>
      <c r="C131" s="2">
        <v>45922</v>
      </c>
      <c r="D131">
        <v>200</v>
      </c>
      <c r="E131">
        <v>199.2</v>
      </c>
      <c r="F131" s="1">
        <f t="shared" si="4"/>
        <v>99.6</v>
      </c>
      <c r="G131">
        <v>99.1</v>
      </c>
      <c r="H131">
        <v>94.8</v>
      </c>
      <c r="I131">
        <v>0.55000000000000004</v>
      </c>
      <c r="J131" t="s">
        <v>14</v>
      </c>
      <c r="K131" t="s">
        <v>14</v>
      </c>
      <c r="L131" t="s">
        <v>15</v>
      </c>
    </row>
    <row r="132" spans="1:12" x14ac:dyDescent="0.35">
      <c r="A132" t="s">
        <v>109</v>
      </c>
      <c r="B132" t="s">
        <v>148</v>
      </c>
      <c r="C132" s="2">
        <v>45929</v>
      </c>
      <c r="D132">
        <v>200</v>
      </c>
      <c r="E132">
        <v>191.8</v>
      </c>
      <c r="F132" s="1">
        <f t="shared" si="4"/>
        <v>95.9</v>
      </c>
      <c r="G132">
        <v>97.7</v>
      </c>
      <c r="H132">
        <v>94.6</v>
      </c>
      <c r="I132">
        <v>0.21</v>
      </c>
      <c r="J132" t="s">
        <v>18</v>
      </c>
      <c r="K132" t="s">
        <v>14</v>
      </c>
      <c r="L132" t="s">
        <v>15</v>
      </c>
    </row>
    <row r="133" spans="1:12" x14ac:dyDescent="0.35">
      <c r="A133" t="s">
        <v>109</v>
      </c>
      <c r="B133" t="s">
        <v>149</v>
      </c>
      <c r="C133" s="2">
        <v>45936</v>
      </c>
      <c r="D133">
        <v>200</v>
      </c>
      <c r="E133">
        <v>188.2</v>
      </c>
      <c r="F133" s="1">
        <f t="shared" si="4"/>
        <v>94.1</v>
      </c>
      <c r="G133">
        <v>98.2</v>
      </c>
      <c r="H133">
        <v>96.9</v>
      </c>
      <c r="I133">
        <v>0.42</v>
      </c>
      <c r="J133" t="s">
        <v>14</v>
      </c>
      <c r="K133" t="s">
        <v>14</v>
      </c>
      <c r="L133" t="s">
        <v>15</v>
      </c>
    </row>
    <row r="134" spans="1:12" x14ac:dyDescent="0.35">
      <c r="A134" t="s">
        <v>109</v>
      </c>
      <c r="B134" t="s">
        <v>150</v>
      </c>
      <c r="C134" s="2">
        <v>45943</v>
      </c>
      <c r="D134">
        <v>200</v>
      </c>
      <c r="E134">
        <v>197</v>
      </c>
      <c r="F134" s="1">
        <f t="shared" si="4"/>
        <v>98.5</v>
      </c>
      <c r="G134">
        <v>98.3</v>
      </c>
      <c r="H134">
        <v>96.6</v>
      </c>
      <c r="I134">
        <v>0.33</v>
      </c>
      <c r="J134" t="s">
        <v>14</v>
      </c>
      <c r="K134" t="s">
        <v>14</v>
      </c>
      <c r="L134" t="s">
        <v>15</v>
      </c>
    </row>
    <row r="135" spans="1:12" x14ac:dyDescent="0.35">
      <c r="A135" t="s">
        <v>109</v>
      </c>
      <c r="B135" t="s">
        <v>151</v>
      </c>
      <c r="C135" s="2">
        <v>45950</v>
      </c>
      <c r="D135">
        <v>200</v>
      </c>
      <c r="E135">
        <v>200</v>
      </c>
      <c r="F135" s="1">
        <f t="shared" si="4"/>
        <v>100</v>
      </c>
      <c r="G135">
        <v>97.3</v>
      </c>
      <c r="H135">
        <v>98.8</v>
      </c>
      <c r="I135">
        <v>0.57999999999999996</v>
      </c>
      <c r="J135" t="s">
        <v>14</v>
      </c>
      <c r="K135" t="s">
        <v>14</v>
      </c>
      <c r="L135" t="s">
        <v>15</v>
      </c>
    </row>
    <row r="136" spans="1:12" x14ac:dyDescent="0.35">
      <c r="A136" t="s">
        <v>109</v>
      </c>
      <c r="B136" t="s">
        <v>152</v>
      </c>
      <c r="C136" s="2">
        <v>45957</v>
      </c>
      <c r="D136">
        <v>200</v>
      </c>
      <c r="E136">
        <v>194.2</v>
      </c>
      <c r="F136" s="1">
        <f t="shared" si="4"/>
        <v>97.1</v>
      </c>
      <c r="G136">
        <v>101.3</v>
      </c>
      <c r="H136">
        <v>88.1</v>
      </c>
      <c r="I136">
        <v>0.12</v>
      </c>
      <c r="J136" t="s">
        <v>14</v>
      </c>
      <c r="K136" t="s">
        <v>14</v>
      </c>
      <c r="L136" t="s">
        <v>15</v>
      </c>
    </row>
    <row r="137" spans="1:12" x14ac:dyDescent="0.35">
      <c r="A137" t="s">
        <v>109</v>
      </c>
      <c r="B137" t="s">
        <v>153</v>
      </c>
      <c r="C137" s="2">
        <v>45964</v>
      </c>
      <c r="D137">
        <v>200</v>
      </c>
      <c r="E137">
        <v>195</v>
      </c>
      <c r="F137" s="1">
        <f t="shared" si="4"/>
        <v>97.5</v>
      </c>
      <c r="G137">
        <v>97.6</v>
      </c>
      <c r="H137">
        <v>91.5</v>
      </c>
      <c r="I137">
        <v>0.44</v>
      </c>
      <c r="J137" t="s">
        <v>18</v>
      </c>
      <c r="K137" t="s">
        <v>14</v>
      </c>
      <c r="L137" t="s">
        <v>15</v>
      </c>
    </row>
    <row r="138" spans="1:12" x14ac:dyDescent="0.35">
      <c r="A138" t="s">
        <v>109</v>
      </c>
      <c r="B138" t="s">
        <v>154</v>
      </c>
      <c r="C138" s="2">
        <v>45971</v>
      </c>
      <c r="D138">
        <v>200</v>
      </c>
      <c r="E138">
        <v>201</v>
      </c>
      <c r="F138" s="1">
        <f t="shared" si="4"/>
        <v>100.49999999999999</v>
      </c>
      <c r="G138">
        <v>101.6</v>
      </c>
      <c r="H138">
        <v>96.2</v>
      </c>
      <c r="I138">
        <v>7.0000000000000007E-2</v>
      </c>
      <c r="J138" t="s">
        <v>14</v>
      </c>
      <c r="K138" t="s">
        <v>14</v>
      </c>
      <c r="L13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1994-21B6-408A-9C9B-4846798934DF}">
  <dimension ref="A1:F6"/>
  <sheetViews>
    <sheetView workbookViewId="0"/>
  </sheetViews>
  <sheetFormatPr defaultRowHeight="14.5" x14ac:dyDescent="0.35"/>
  <cols>
    <col min="1" max="1" width="82.81640625" bestFit="1" customWidth="1"/>
    <col min="2" max="2" width="8.54296875" bestFit="1" customWidth="1"/>
    <col min="3" max="3" width="9" bestFit="1" customWidth="1"/>
    <col min="4" max="4" width="18.81640625" bestFit="1" customWidth="1"/>
    <col min="5" max="5" width="14.36328125" bestFit="1" customWidth="1"/>
    <col min="6" max="6" width="12.1796875" bestFit="1" customWidth="1"/>
  </cols>
  <sheetData>
    <row r="1" spans="1:6" x14ac:dyDescent="0.35">
      <c r="A1" s="3" t="s">
        <v>0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</row>
    <row r="2" spans="1:6" x14ac:dyDescent="0.35">
      <c r="A2" t="s">
        <v>12</v>
      </c>
      <c r="B2" s="4">
        <v>95</v>
      </c>
      <c r="C2" s="4">
        <v>105</v>
      </c>
      <c r="D2" s="4">
        <v>2</v>
      </c>
      <c r="E2" s="4">
        <v>3</v>
      </c>
      <c r="F2" s="4">
        <v>5</v>
      </c>
    </row>
    <row r="3" spans="1:6" x14ac:dyDescent="0.35">
      <c r="A3" t="s">
        <v>68</v>
      </c>
      <c r="B3" s="4">
        <v>90</v>
      </c>
      <c r="C3" s="4">
        <v>110</v>
      </c>
      <c r="D3" s="4">
        <v>1</v>
      </c>
      <c r="E3" s="4">
        <v>2</v>
      </c>
      <c r="F3" s="4">
        <v>3</v>
      </c>
    </row>
    <row r="4" spans="1:6" x14ac:dyDescent="0.35">
      <c r="A4" t="s">
        <v>109</v>
      </c>
      <c r="B4" s="4">
        <v>95</v>
      </c>
      <c r="C4" s="4">
        <v>105</v>
      </c>
      <c r="D4" s="4">
        <v>0</v>
      </c>
      <c r="E4" s="4">
        <v>4</v>
      </c>
      <c r="F4" s="4">
        <v>2</v>
      </c>
    </row>
    <row r="6" spans="1:6" x14ac:dyDescent="0.35">
      <c r="A6" s="5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66B-7CA8-409B-AE0C-285DC521CBEE}">
  <dimension ref="A1:I61"/>
  <sheetViews>
    <sheetView workbookViewId="0"/>
  </sheetViews>
  <sheetFormatPr defaultRowHeight="14.5" x14ac:dyDescent="0.35"/>
  <sheetData>
    <row r="1" spans="1:9" x14ac:dyDescent="0.35">
      <c r="A1" s="6" t="s">
        <v>161</v>
      </c>
      <c r="B1" s="6" t="s">
        <v>162</v>
      </c>
      <c r="C1" s="6" t="s">
        <v>163</v>
      </c>
      <c r="D1" s="6" t="s">
        <v>6</v>
      </c>
      <c r="E1" s="6" t="s">
        <v>164</v>
      </c>
      <c r="F1" s="6" t="s">
        <v>165</v>
      </c>
      <c r="G1" s="6" t="s">
        <v>5</v>
      </c>
      <c r="I1" t="s">
        <v>166</v>
      </c>
    </row>
    <row r="2" spans="1:9" x14ac:dyDescent="0.35">
      <c r="A2">
        <v>1</v>
      </c>
      <c r="B2" cm="1">
        <f t="array" ref="B2">IFERROR(_xlfn.AGGREGATE(15,6,ROW(Batch_Data!$A$2:$A$500)/(Batch_Data!$A$2:$A$500=APQR_Summary!$C$4),A2),"")</f>
        <v>2</v>
      </c>
      <c r="C2" t="str">
        <f>IF(B2="","",INDEX(Batch_Data!$B:$B,B2))</f>
        <v>PCM2501</v>
      </c>
      <c r="D2">
        <f>IF(B2="",NA(),INDEX(Batch_Data!$G:$G,B2))</f>
        <v>98.3</v>
      </c>
      <c r="E2">
        <f>IF(B2="",NA(),APQR_Summary!$C$7)</f>
        <v>95</v>
      </c>
      <c r="F2">
        <f>IF(B2="",NA(),APQR_Summary!$C$8)</f>
        <v>105</v>
      </c>
      <c r="G2">
        <f>IF(B2="",NA(),INDEX(Batch_Data!$F:$F,B2))</f>
        <v>94.5</v>
      </c>
    </row>
    <row r="3" spans="1:9" x14ac:dyDescent="0.35">
      <c r="A3">
        <v>2</v>
      </c>
      <c r="B3" cm="1">
        <f t="array" ref="B3">IFERROR(_xlfn.AGGREGATE(15,6,ROW(Batch_Data!$A$2:$A$500)/(Batch_Data!$A$2:$A$500=APQR_Summary!$C$4),A3),"")</f>
        <v>3</v>
      </c>
      <c r="C3" t="str">
        <f>IF(B3="","",INDEX(Batch_Data!$B:$B,B3))</f>
        <v>PCM2502</v>
      </c>
      <c r="D3">
        <f>IF(B3="",NA(),INDEX(Batch_Data!$G:$G,B3))</f>
        <v>98.8</v>
      </c>
      <c r="E3">
        <f>IF(B3="",NA(),APQR_Summary!$C$7)</f>
        <v>95</v>
      </c>
      <c r="F3">
        <f>IF(B3="",NA(),APQR_Summary!$C$8)</f>
        <v>105</v>
      </c>
      <c r="G3">
        <f>IF(B3="",NA(),INDEX(Batch_Data!$F:$F,B3))</f>
        <v>94.5</v>
      </c>
    </row>
    <row r="4" spans="1:9" x14ac:dyDescent="0.35">
      <c r="A4">
        <v>3</v>
      </c>
      <c r="B4" cm="1">
        <f t="array" ref="B4">IFERROR(_xlfn.AGGREGATE(15,6,ROW(Batch_Data!$A$2:$A$500)/(Batch_Data!$A$2:$A$500=APQR_Summary!$C$4),A4),"")</f>
        <v>4</v>
      </c>
      <c r="C4" t="str">
        <f>IF(B4="","",INDEX(Batch_Data!$B:$B,B4))</f>
        <v>PCM2503</v>
      </c>
      <c r="D4">
        <f>IF(B4="",NA(),INDEX(Batch_Data!$G:$G,B4))</f>
        <v>100.5</v>
      </c>
      <c r="E4">
        <f>IF(B4="",NA(),APQR_Summary!$C$7)</f>
        <v>95</v>
      </c>
      <c r="F4">
        <f>IF(B4="",NA(),APQR_Summary!$C$8)</f>
        <v>105</v>
      </c>
      <c r="G4">
        <f>IF(B4="",NA(),INDEX(Batch_Data!$F:$F,B4))</f>
        <v>99</v>
      </c>
    </row>
    <row r="5" spans="1:9" x14ac:dyDescent="0.35">
      <c r="A5">
        <v>4</v>
      </c>
      <c r="B5" cm="1">
        <f t="array" ref="B5">IFERROR(_xlfn.AGGREGATE(15,6,ROW(Batch_Data!$A$2:$A$500)/(Batch_Data!$A$2:$A$500=APQR_Summary!$C$4),A5),"")</f>
        <v>5</v>
      </c>
      <c r="C5" t="str">
        <f>IF(B5="","",INDEX(Batch_Data!$B:$B,B5))</f>
        <v>PCM2504</v>
      </c>
      <c r="D5">
        <f>IF(B5="",NA(),INDEX(Batch_Data!$G:$G,B5))</f>
        <v>99.4</v>
      </c>
      <c r="E5">
        <f>IF(B5="",NA(),APQR_Summary!$C$7)</f>
        <v>95</v>
      </c>
      <c r="F5">
        <f>IF(B5="",NA(),APQR_Summary!$C$8)</f>
        <v>105</v>
      </c>
      <c r="G5">
        <f>IF(B5="",NA(),INDEX(Batch_Data!$F:$F,B5))</f>
        <v>99.6</v>
      </c>
    </row>
    <row r="6" spans="1:9" x14ac:dyDescent="0.35">
      <c r="A6">
        <v>5</v>
      </c>
      <c r="B6" cm="1">
        <f t="array" ref="B6">IFERROR(_xlfn.AGGREGATE(15,6,ROW(Batch_Data!$A$2:$A$500)/(Batch_Data!$A$2:$A$500=APQR_Summary!$C$4),A6),"")</f>
        <v>6</v>
      </c>
      <c r="C6" t="str">
        <f>IF(B6="","",INDEX(Batch_Data!$B:$B,B6))</f>
        <v>PCM2505</v>
      </c>
      <c r="D6">
        <f>IF(B6="",NA(),INDEX(Batch_Data!$G:$G,B6))</f>
        <v>99</v>
      </c>
      <c r="E6">
        <f>IF(B6="",NA(),APQR_Summary!$C$7)</f>
        <v>95</v>
      </c>
      <c r="F6">
        <f>IF(B6="",NA(),APQR_Summary!$C$8)</f>
        <v>105</v>
      </c>
      <c r="G6">
        <f>IF(B6="",NA(),INDEX(Batch_Data!$F:$F,B6))</f>
        <v>94.7</v>
      </c>
    </row>
    <row r="7" spans="1:9" x14ac:dyDescent="0.35">
      <c r="A7">
        <v>6</v>
      </c>
      <c r="B7" cm="1">
        <f t="array" ref="B7">IFERROR(_xlfn.AGGREGATE(15,6,ROW(Batch_Data!$A$2:$A$500)/(Batch_Data!$A$2:$A$500=APQR_Summary!$C$4),A7),"")</f>
        <v>7</v>
      </c>
      <c r="C7" t="str">
        <f>IF(B7="","",INDEX(Batch_Data!$B:$B,B7))</f>
        <v>PCM2506</v>
      </c>
      <c r="D7">
        <f>IF(B7="",NA(),INDEX(Batch_Data!$G:$G,B7))</f>
        <v>100.1</v>
      </c>
      <c r="E7">
        <f>IF(B7="",NA(),APQR_Summary!$C$7)</f>
        <v>95</v>
      </c>
      <c r="F7">
        <f>IF(B7="",NA(),APQR_Summary!$C$8)</f>
        <v>105</v>
      </c>
      <c r="G7">
        <f>IF(B7="",NA(),INDEX(Batch_Data!$F:$F,B7))</f>
        <v>99.1</v>
      </c>
    </row>
    <row r="8" spans="1:9" x14ac:dyDescent="0.35">
      <c r="A8">
        <v>7</v>
      </c>
      <c r="B8" cm="1">
        <f t="array" ref="B8">IFERROR(_xlfn.AGGREGATE(15,6,ROW(Batch_Data!$A$2:$A$500)/(Batch_Data!$A$2:$A$500=APQR_Summary!$C$4),A8),"")</f>
        <v>8</v>
      </c>
      <c r="C8" t="str">
        <f>IF(B8="","",INDEX(Batch_Data!$B:$B,B8))</f>
        <v>PCM2507</v>
      </c>
      <c r="D8">
        <f>IF(B8="",NA(),INDEX(Batch_Data!$G:$G,B8))</f>
        <v>101.3</v>
      </c>
      <c r="E8">
        <f>IF(B8="",NA(),APQR_Summary!$C$7)</f>
        <v>95</v>
      </c>
      <c r="F8">
        <f>IF(B8="",NA(),APQR_Summary!$C$8)</f>
        <v>105</v>
      </c>
      <c r="G8">
        <f>IF(B8="",NA(),INDEX(Batch_Data!$F:$F,B8))</f>
        <v>97</v>
      </c>
    </row>
    <row r="9" spans="1:9" x14ac:dyDescent="0.35">
      <c r="A9">
        <v>8</v>
      </c>
      <c r="B9" cm="1">
        <f t="array" ref="B9">IFERROR(_xlfn.AGGREGATE(15,6,ROW(Batch_Data!$A$2:$A$500)/(Batch_Data!$A$2:$A$500=APQR_Summary!$C$4),A9),"")</f>
        <v>9</v>
      </c>
      <c r="C9" t="str">
        <f>IF(B9="","",INDEX(Batch_Data!$B:$B,B9))</f>
        <v>PCM2508</v>
      </c>
      <c r="D9">
        <f>IF(B9="",NA(),INDEX(Batch_Data!$G:$G,B9))</f>
        <v>100.1</v>
      </c>
      <c r="E9">
        <f>IF(B9="",NA(),APQR_Summary!$C$7)</f>
        <v>95</v>
      </c>
      <c r="F9">
        <f>IF(B9="",NA(),APQR_Summary!$C$8)</f>
        <v>105</v>
      </c>
      <c r="G9">
        <f>IF(B9="",NA(),INDEX(Batch_Data!$F:$F,B9))</f>
        <v>95.4</v>
      </c>
    </row>
    <row r="10" spans="1:9" x14ac:dyDescent="0.35">
      <c r="A10">
        <v>9</v>
      </c>
      <c r="B10" cm="1">
        <f t="array" ref="B10">IFERROR(_xlfn.AGGREGATE(15,6,ROW(Batch_Data!$A$2:$A$500)/(Batch_Data!$A$2:$A$500=APQR_Summary!$C$4),A10),"")</f>
        <v>10</v>
      </c>
      <c r="C10" t="str">
        <f>IF(B10="","",INDEX(Batch_Data!$B:$B,B10))</f>
        <v>PCM2509</v>
      </c>
      <c r="D10">
        <f>IF(B10="",NA(),INDEX(Batch_Data!$G:$G,B10))</f>
        <v>100.9</v>
      </c>
      <c r="E10">
        <f>IF(B10="",NA(),APQR_Summary!$C$7)</f>
        <v>95</v>
      </c>
      <c r="F10">
        <f>IF(B10="",NA(),APQR_Summary!$C$8)</f>
        <v>105</v>
      </c>
      <c r="G10">
        <f>IF(B10="",NA(),INDEX(Batch_Data!$F:$F,B10))</f>
        <v>100.70000000000002</v>
      </c>
    </row>
    <row r="11" spans="1:9" x14ac:dyDescent="0.35">
      <c r="A11">
        <v>10</v>
      </c>
      <c r="B11" cm="1">
        <f t="array" ref="B11">IFERROR(_xlfn.AGGREGATE(15,6,ROW(Batch_Data!$A$2:$A$500)/(Batch_Data!$A$2:$A$500=APQR_Summary!$C$4),A11),"")</f>
        <v>11</v>
      </c>
      <c r="C11" t="str">
        <f>IF(B11="","",INDEX(Batch_Data!$B:$B,B11))</f>
        <v>PCM2510</v>
      </c>
      <c r="D11">
        <f>IF(B11="",NA(),INDEX(Batch_Data!$G:$G,B11))</f>
        <v>100.4</v>
      </c>
      <c r="E11">
        <f>IF(B11="",NA(),APQR_Summary!$C$7)</f>
        <v>95</v>
      </c>
      <c r="F11">
        <f>IF(B11="",NA(),APQR_Summary!$C$8)</f>
        <v>105</v>
      </c>
      <c r="G11">
        <f>IF(B11="",NA(),INDEX(Batch_Data!$F:$F,B11))</f>
        <v>95.6</v>
      </c>
    </row>
    <row r="12" spans="1:9" x14ac:dyDescent="0.35">
      <c r="A12">
        <v>11</v>
      </c>
      <c r="B12" cm="1">
        <f t="array" ref="B12">IFERROR(_xlfn.AGGREGATE(15,6,ROW(Batch_Data!$A$2:$A$500)/(Batch_Data!$A$2:$A$500=APQR_Summary!$C$4),A12),"")</f>
        <v>12</v>
      </c>
      <c r="C12" t="str">
        <f>IF(B12="","",INDEX(Batch_Data!$B:$B,B12))</f>
        <v>PCM2511</v>
      </c>
      <c r="D12">
        <f>IF(B12="",NA(),INDEX(Batch_Data!$G:$G,B12))</f>
        <v>100.6</v>
      </c>
      <c r="E12">
        <f>IF(B12="",NA(),APQR_Summary!$C$7)</f>
        <v>95</v>
      </c>
      <c r="F12">
        <f>IF(B12="",NA(),APQR_Summary!$C$8)</f>
        <v>105</v>
      </c>
      <c r="G12">
        <f>IF(B12="",NA(),INDEX(Batch_Data!$F:$F,B12))</f>
        <v>95.5</v>
      </c>
    </row>
    <row r="13" spans="1:9" x14ac:dyDescent="0.35">
      <c r="A13">
        <v>12</v>
      </c>
      <c r="B13" cm="1">
        <f t="array" ref="B13">IFERROR(_xlfn.AGGREGATE(15,6,ROW(Batch_Data!$A$2:$A$500)/(Batch_Data!$A$2:$A$500=APQR_Summary!$C$4),A13),"")</f>
        <v>13</v>
      </c>
      <c r="C13" t="str">
        <f>IF(B13="","",INDEX(Batch_Data!$B:$B,B13))</f>
        <v>PCM2512</v>
      </c>
      <c r="D13">
        <f>IF(B13="",NA(),INDEX(Batch_Data!$G:$G,B13))</f>
        <v>101.1</v>
      </c>
      <c r="E13">
        <f>IF(B13="",NA(),APQR_Summary!$C$7)</f>
        <v>95</v>
      </c>
      <c r="F13">
        <f>IF(B13="",NA(),APQR_Summary!$C$8)</f>
        <v>105</v>
      </c>
      <c r="G13">
        <f>IF(B13="",NA(),INDEX(Batch_Data!$F:$F,B13))</f>
        <v>99.7</v>
      </c>
    </row>
    <row r="14" spans="1:9" x14ac:dyDescent="0.35">
      <c r="A14">
        <v>13</v>
      </c>
      <c r="B14" cm="1">
        <f t="array" ref="B14">IFERROR(_xlfn.AGGREGATE(15,6,ROW(Batch_Data!$A$2:$A$500)/(Batch_Data!$A$2:$A$500=APQR_Summary!$C$4),A14),"")</f>
        <v>14</v>
      </c>
      <c r="C14" t="str">
        <f>IF(B14="","",INDEX(Batch_Data!$B:$B,B14))</f>
        <v>PCM2513</v>
      </c>
      <c r="D14">
        <f>IF(B14="",NA(),INDEX(Batch_Data!$G:$G,B14))</f>
        <v>99.1</v>
      </c>
      <c r="E14">
        <f>IF(B14="",NA(),APQR_Summary!$C$7)</f>
        <v>95</v>
      </c>
      <c r="F14">
        <f>IF(B14="",NA(),APQR_Summary!$C$8)</f>
        <v>105</v>
      </c>
      <c r="G14">
        <f>IF(B14="",NA(),INDEX(Batch_Data!$F:$F,B14))</f>
        <v>99.4</v>
      </c>
    </row>
    <row r="15" spans="1:9" x14ac:dyDescent="0.35">
      <c r="A15">
        <v>14</v>
      </c>
      <c r="B15" cm="1">
        <f t="array" ref="B15">IFERROR(_xlfn.AGGREGATE(15,6,ROW(Batch_Data!$A$2:$A$500)/(Batch_Data!$A$2:$A$500=APQR_Summary!$C$4),A15),"")</f>
        <v>15</v>
      </c>
      <c r="C15" t="str">
        <f>IF(B15="","",INDEX(Batch_Data!$B:$B,B15))</f>
        <v>PCM2514</v>
      </c>
      <c r="D15">
        <f>IF(B15="",NA(),INDEX(Batch_Data!$G:$G,B15))</f>
        <v>100.8</v>
      </c>
      <c r="E15">
        <f>IF(B15="",NA(),APQR_Summary!$C$7)</f>
        <v>95</v>
      </c>
      <c r="F15">
        <f>IF(B15="",NA(),APQR_Summary!$C$8)</f>
        <v>105</v>
      </c>
      <c r="G15">
        <f>IF(B15="",NA(),INDEX(Batch_Data!$F:$F,B15))</f>
        <v>95.3</v>
      </c>
    </row>
    <row r="16" spans="1:9" x14ac:dyDescent="0.35">
      <c r="A16">
        <v>15</v>
      </c>
      <c r="B16" cm="1">
        <f t="array" ref="B16">IFERROR(_xlfn.AGGREGATE(15,6,ROW(Batch_Data!$A$2:$A$500)/(Batch_Data!$A$2:$A$500=APQR_Summary!$C$4),A16),"")</f>
        <v>16</v>
      </c>
      <c r="C16" t="str">
        <f>IF(B16="","",INDEX(Batch_Data!$B:$B,B16))</f>
        <v>PCM2515</v>
      </c>
      <c r="D16">
        <f>IF(B16="",NA(),INDEX(Batch_Data!$G:$G,B16))</f>
        <v>101.7</v>
      </c>
      <c r="E16">
        <f>IF(B16="",NA(),APQR_Summary!$C$7)</f>
        <v>95</v>
      </c>
      <c r="F16">
        <f>IF(B16="",NA(),APQR_Summary!$C$8)</f>
        <v>105</v>
      </c>
      <c r="G16">
        <f>IF(B16="",NA(),INDEX(Batch_Data!$F:$F,B16))</f>
        <v>94.7</v>
      </c>
    </row>
    <row r="17" spans="1:7" x14ac:dyDescent="0.35">
      <c r="A17">
        <v>16</v>
      </c>
      <c r="B17" cm="1">
        <f t="array" ref="B17">IFERROR(_xlfn.AGGREGATE(15,6,ROW(Batch_Data!$A$2:$A$500)/(Batch_Data!$A$2:$A$500=APQR_Summary!$C$4),A17),"")</f>
        <v>17</v>
      </c>
      <c r="C17" t="str">
        <f>IF(B17="","",INDEX(Batch_Data!$B:$B,B17))</f>
        <v>PCM2516</v>
      </c>
      <c r="D17">
        <f>IF(B17="",NA(),INDEX(Batch_Data!$G:$G,B17))</f>
        <v>101.3</v>
      </c>
      <c r="E17">
        <f>IF(B17="",NA(),APQR_Summary!$C$7)</f>
        <v>95</v>
      </c>
      <c r="F17">
        <f>IF(B17="",NA(),APQR_Summary!$C$8)</f>
        <v>105</v>
      </c>
      <c r="G17">
        <f>IF(B17="",NA(),INDEX(Batch_Data!$F:$F,B17))</f>
        <v>98.2</v>
      </c>
    </row>
    <row r="18" spans="1:7" x14ac:dyDescent="0.35">
      <c r="A18">
        <v>17</v>
      </c>
      <c r="B18" cm="1">
        <f t="array" ref="B18">IFERROR(_xlfn.AGGREGATE(15,6,ROW(Batch_Data!$A$2:$A$500)/(Batch_Data!$A$2:$A$500=APQR_Summary!$C$4),A18),"")</f>
        <v>18</v>
      </c>
      <c r="C18" t="str">
        <f>IF(B18="","",INDEX(Batch_Data!$B:$B,B18))</f>
        <v>PCM2517</v>
      </c>
      <c r="D18">
        <f>IF(B18="",NA(),INDEX(Batch_Data!$G:$G,B18))</f>
        <v>100.3</v>
      </c>
      <c r="E18">
        <f>IF(B18="",NA(),APQR_Summary!$C$7)</f>
        <v>95</v>
      </c>
      <c r="F18">
        <f>IF(B18="",NA(),APQR_Summary!$C$8)</f>
        <v>105</v>
      </c>
      <c r="G18">
        <f>IF(B18="",NA(),INDEX(Batch_Data!$F:$F,B18))</f>
        <v>94.3</v>
      </c>
    </row>
    <row r="19" spans="1:7" x14ac:dyDescent="0.35">
      <c r="A19">
        <v>18</v>
      </c>
      <c r="B19" cm="1">
        <f t="array" ref="B19">IFERROR(_xlfn.AGGREGATE(15,6,ROW(Batch_Data!$A$2:$A$500)/(Batch_Data!$A$2:$A$500=APQR_Summary!$C$4),A19),"")</f>
        <v>19</v>
      </c>
      <c r="C19" t="str">
        <f>IF(B19="","",INDEX(Batch_Data!$B:$B,B19))</f>
        <v>PCM2518</v>
      </c>
      <c r="D19">
        <f>IF(B19="",NA(),INDEX(Batch_Data!$G:$G,B19))</f>
        <v>102</v>
      </c>
      <c r="E19">
        <f>IF(B19="",NA(),APQR_Summary!$C$7)</f>
        <v>95</v>
      </c>
      <c r="F19">
        <f>IF(B19="",NA(),APQR_Summary!$C$8)</f>
        <v>105</v>
      </c>
      <c r="G19">
        <f>IF(B19="",NA(),INDEX(Batch_Data!$F:$F,B19))</f>
        <v>94.4</v>
      </c>
    </row>
    <row r="20" spans="1:7" x14ac:dyDescent="0.35">
      <c r="A20">
        <v>19</v>
      </c>
      <c r="B20" cm="1">
        <f t="array" ref="B20">IFERROR(_xlfn.AGGREGATE(15,6,ROW(Batch_Data!$A$2:$A$500)/(Batch_Data!$A$2:$A$500=APQR_Summary!$C$4),A20),"")</f>
        <v>20</v>
      </c>
      <c r="C20" t="str">
        <f>IF(B20="","",INDEX(Batch_Data!$B:$B,B20))</f>
        <v>PCM2519</v>
      </c>
      <c r="D20">
        <f>IF(B20="",NA(),INDEX(Batch_Data!$G:$G,B20))</f>
        <v>98.8</v>
      </c>
      <c r="E20">
        <f>IF(B20="",NA(),APQR_Summary!$C$7)</f>
        <v>95</v>
      </c>
      <c r="F20">
        <f>IF(B20="",NA(),APQR_Summary!$C$8)</f>
        <v>105</v>
      </c>
      <c r="G20">
        <f>IF(B20="",NA(),INDEX(Batch_Data!$F:$F,B20))</f>
        <v>95.1</v>
      </c>
    </row>
    <row r="21" spans="1:7" x14ac:dyDescent="0.35">
      <c r="A21">
        <v>20</v>
      </c>
      <c r="B21" cm="1">
        <f t="array" ref="B21">IFERROR(_xlfn.AGGREGATE(15,6,ROW(Batch_Data!$A$2:$A$500)/(Batch_Data!$A$2:$A$500=APQR_Summary!$C$4),A21),"")</f>
        <v>21</v>
      </c>
      <c r="C21" t="str">
        <f>IF(B21="","",INDEX(Batch_Data!$B:$B,B21))</f>
        <v>PCM2520</v>
      </c>
      <c r="D21">
        <f>IF(B21="",NA(),INDEX(Batch_Data!$G:$G,B21))</f>
        <v>99.9</v>
      </c>
      <c r="E21">
        <f>IF(B21="",NA(),APQR_Summary!$C$7)</f>
        <v>95</v>
      </c>
      <c r="F21">
        <f>IF(B21="",NA(),APQR_Summary!$C$8)</f>
        <v>105</v>
      </c>
      <c r="G21">
        <f>IF(B21="",NA(),INDEX(Batch_Data!$F:$F,B21))</f>
        <v>99.4</v>
      </c>
    </row>
    <row r="22" spans="1:7" x14ac:dyDescent="0.35">
      <c r="A22">
        <v>21</v>
      </c>
      <c r="B22" cm="1">
        <f t="array" ref="B22">IFERROR(_xlfn.AGGREGATE(15,6,ROW(Batch_Data!$A$2:$A$500)/(Batch_Data!$A$2:$A$500=APQR_Summary!$C$4),A22),"")</f>
        <v>22</v>
      </c>
      <c r="C22" t="str">
        <f>IF(B22="","",INDEX(Batch_Data!$B:$B,B22))</f>
        <v>PCM2521</v>
      </c>
      <c r="D22">
        <f>IF(B22="",NA(),INDEX(Batch_Data!$G:$G,B22))</f>
        <v>98.9</v>
      </c>
      <c r="E22">
        <f>IF(B22="",NA(),APQR_Summary!$C$7)</f>
        <v>95</v>
      </c>
      <c r="F22">
        <f>IF(B22="",NA(),APQR_Summary!$C$8)</f>
        <v>105</v>
      </c>
      <c r="G22">
        <f>IF(B22="",NA(),INDEX(Batch_Data!$F:$F,B22))</f>
        <v>94.5</v>
      </c>
    </row>
    <row r="23" spans="1:7" x14ac:dyDescent="0.35">
      <c r="A23">
        <v>22</v>
      </c>
      <c r="B23" cm="1">
        <f t="array" ref="B23">IFERROR(_xlfn.AGGREGATE(15,6,ROW(Batch_Data!$A$2:$A$500)/(Batch_Data!$A$2:$A$500=APQR_Summary!$C$4),A23),"")</f>
        <v>23</v>
      </c>
      <c r="C23" t="str">
        <f>IF(B23="","",INDEX(Batch_Data!$B:$B,B23))</f>
        <v>PCM2522</v>
      </c>
      <c r="D23">
        <f>IF(B23="",NA(),INDEX(Batch_Data!$G:$G,B23))</f>
        <v>100.4</v>
      </c>
      <c r="E23">
        <f>IF(B23="",NA(),APQR_Summary!$C$7)</f>
        <v>95</v>
      </c>
      <c r="F23">
        <f>IF(B23="",NA(),APQR_Summary!$C$8)</f>
        <v>105</v>
      </c>
      <c r="G23">
        <f>IF(B23="",NA(),INDEX(Batch_Data!$F:$F,B23))</f>
        <v>98.5</v>
      </c>
    </row>
    <row r="24" spans="1:7" x14ac:dyDescent="0.35">
      <c r="A24">
        <v>23</v>
      </c>
      <c r="B24" cm="1">
        <f t="array" ref="B24">IFERROR(_xlfn.AGGREGATE(15,6,ROW(Batch_Data!$A$2:$A$500)/(Batch_Data!$A$2:$A$500=APQR_Summary!$C$4),A24),"")</f>
        <v>24</v>
      </c>
      <c r="C24" t="str">
        <f>IF(B24="","",INDEX(Batch_Data!$B:$B,B24))</f>
        <v>PCM2523</v>
      </c>
      <c r="D24">
        <f>IF(B24="",NA(),INDEX(Batch_Data!$G:$G,B24))</f>
        <v>102.2</v>
      </c>
      <c r="E24">
        <f>IF(B24="",NA(),APQR_Summary!$C$7)</f>
        <v>95</v>
      </c>
      <c r="F24">
        <f>IF(B24="",NA(),APQR_Summary!$C$8)</f>
        <v>105</v>
      </c>
      <c r="G24">
        <f>IF(B24="",NA(),INDEX(Batch_Data!$F:$F,B24))</f>
        <v>95.8</v>
      </c>
    </row>
    <row r="25" spans="1:7" x14ac:dyDescent="0.35">
      <c r="A25">
        <v>24</v>
      </c>
      <c r="B25" cm="1">
        <f t="array" ref="B25">IFERROR(_xlfn.AGGREGATE(15,6,ROW(Batch_Data!$A$2:$A$500)/(Batch_Data!$A$2:$A$500=APQR_Summary!$C$4),A25),"")</f>
        <v>25</v>
      </c>
      <c r="C25" t="str">
        <f>IF(B25="","",INDEX(Batch_Data!$B:$B,B25))</f>
        <v>PCM2524</v>
      </c>
      <c r="D25">
        <f>IF(B25="",NA(),INDEX(Batch_Data!$G:$G,B25))</f>
        <v>101.4</v>
      </c>
      <c r="E25">
        <f>IF(B25="",NA(),APQR_Summary!$C$7)</f>
        <v>95</v>
      </c>
      <c r="F25">
        <f>IF(B25="",NA(),APQR_Summary!$C$8)</f>
        <v>105</v>
      </c>
      <c r="G25">
        <f>IF(B25="",NA(),INDEX(Batch_Data!$F:$F,B25))</f>
        <v>96.5</v>
      </c>
    </row>
    <row r="26" spans="1:7" x14ac:dyDescent="0.35">
      <c r="A26">
        <v>25</v>
      </c>
      <c r="B26" cm="1">
        <f t="array" ref="B26">IFERROR(_xlfn.AGGREGATE(15,6,ROW(Batch_Data!$A$2:$A$500)/(Batch_Data!$A$2:$A$500=APQR_Summary!$C$4),A26),"")</f>
        <v>26</v>
      </c>
      <c r="C26" t="str">
        <f>IF(B26="","",INDEX(Batch_Data!$B:$B,B26))</f>
        <v>PCM2525</v>
      </c>
      <c r="D26">
        <f>IF(B26="",NA(),INDEX(Batch_Data!$G:$G,B26))</f>
        <v>100.5</v>
      </c>
      <c r="E26">
        <f>IF(B26="",NA(),APQR_Summary!$C$7)</f>
        <v>95</v>
      </c>
      <c r="F26">
        <f>IF(B26="",NA(),APQR_Summary!$C$8)</f>
        <v>105</v>
      </c>
      <c r="G26">
        <f>IF(B26="",NA(),INDEX(Batch_Data!$F:$F,B26))</f>
        <v>99.1</v>
      </c>
    </row>
    <row r="27" spans="1:7" x14ac:dyDescent="0.35">
      <c r="A27">
        <v>26</v>
      </c>
      <c r="B27" cm="1">
        <f t="array" ref="B27">IFERROR(_xlfn.AGGREGATE(15,6,ROW(Batch_Data!$A$2:$A$500)/(Batch_Data!$A$2:$A$500=APQR_Summary!$C$4),A27),"")</f>
        <v>27</v>
      </c>
      <c r="C27" t="str">
        <f>IF(B27="","",INDEX(Batch_Data!$B:$B,B27))</f>
        <v>PCM2526</v>
      </c>
      <c r="D27">
        <f>IF(B27="",NA(),INDEX(Batch_Data!$G:$G,B27))</f>
        <v>101.9</v>
      </c>
      <c r="E27">
        <f>IF(B27="",NA(),APQR_Summary!$C$7)</f>
        <v>95</v>
      </c>
      <c r="F27">
        <f>IF(B27="",NA(),APQR_Summary!$C$8)</f>
        <v>105</v>
      </c>
      <c r="G27">
        <f>IF(B27="",NA(),INDEX(Batch_Data!$F:$F,B27))</f>
        <v>100.6</v>
      </c>
    </row>
    <row r="28" spans="1:7" x14ac:dyDescent="0.35">
      <c r="A28">
        <v>27</v>
      </c>
      <c r="B28" cm="1">
        <f t="array" ref="B28">IFERROR(_xlfn.AGGREGATE(15,6,ROW(Batch_Data!$A$2:$A$500)/(Batch_Data!$A$2:$A$500=APQR_Summary!$C$4),A28),"")</f>
        <v>28</v>
      </c>
      <c r="C28" t="str">
        <f>IF(B28="","",INDEX(Batch_Data!$B:$B,B28))</f>
        <v>PCM2527</v>
      </c>
      <c r="D28">
        <f>IF(B28="",NA(),INDEX(Batch_Data!$G:$G,B28))</f>
        <v>101</v>
      </c>
      <c r="E28">
        <f>IF(B28="",NA(),APQR_Summary!$C$7)</f>
        <v>95</v>
      </c>
      <c r="F28">
        <f>IF(B28="",NA(),APQR_Summary!$C$8)</f>
        <v>105</v>
      </c>
      <c r="G28">
        <f>IF(B28="",NA(),INDEX(Batch_Data!$F:$F,B28))</f>
        <v>99.4</v>
      </c>
    </row>
    <row r="29" spans="1:7" x14ac:dyDescent="0.35">
      <c r="A29">
        <v>28</v>
      </c>
      <c r="B29" cm="1">
        <f t="array" ref="B29">IFERROR(_xlfn.AGGREGATE(15,6,ROW(Batch_Data!$A$2:$A$500)/(Batch_Data!$A$2:$A$500=APQR_Summary!$C$4),A29),"")</f>
        <v>29</v>
      </c>
      <c r="C29" t="str">
        <f>IF(B29="","",INDEX(Batch_Data!$B:$B,B29))</f>
        <v>PCM2528</v>
      </c>
      <c r="D29">
        <f>IF(B29="",NA(),INDEX(Batch_Data!$G:$G,B29))</f>
        <v>101</v>
      </c>
      <c r="E29">
        <f>IF(B29="",NA(),APQR_Summary!$C$7)</f>
        <v>95</v>
      </c>
      <c r="F29">
        <f>IF(B29="",NA(),APQR_Summary!$C$8)</f>
        <v>105</v>
      </c>
      <c r="G29">
        <f>IF(B29="",NA(),INDEX(Batch_Data!$F:$F,B29))</f>
        <v>100.70000000000002</v>
      </c>
    </row>
    <row r="30" spans="1:7" x14ac:dyDescent="0.35">
      <c r="A30">
        <v>29</v>
      </c>
      <c r="B30" cm="1">
        <f t="array" ref="B30">IFERROR(_xlfn.AGGREGATE(15,6,ROW(Batch_Data!$A$2:$A$500)/(Batch_Data!$A$2:$A$500=APQR_Summary!$C$4),A30),"")</f>
        <v>30</v>
      </c>
      <c r="C30" t="str">
        <f>IF(B30="","",INDEX(Batch_Data!$B:$B,B30))</f>
        <v>PCM2529</v>
      </c>
      <c r="D30">
        <f>IF(B30="",NA(),INDEX(Batch_Data!$G:$G,B30))</f>
        <v>99.5</v>
      </c>
      <c r="E30">
        <f>IF(B30="",NA(),APQR_Summary!$C$7)</f>
        <v>95</v>
      </c>
      <c r="F30">
        <f>IF(B30="",NA(),APQR_Summary!$C$8)</f>
        <v>105</v>
      </c>
      <c r="G30">
        <f>IF(B30="",NA(),INDEX(Batch_Data!$F:$F,B30))</f>
        <v>97.3</v>
      </c>
    </row>
    <row r="31" spans="1:7" x14ac:dyDescent="0.35">
      <c r="A31">
        <v>30</v>
      </c>
      <c r="B31" cm="1">
        <f t="array" ref="B31">IFERROR(_xlfn.AGGREGATE(15,6,ROW(Batch_Data!$A$2:$A$500)/(Batch_Data!$A$2:$A$500=APQR_Summary!$C$4),A31),"")</f>
        <v>31</v>
      </c>
      <c r="C31" t="str">
        <f>IF(B31="","",INDEX(Batch_Data!$B:$B,B31))</f>
        <v>PCM2530</v>
      </c>
      <c r="D31">
        <f>IF(B31="",NA(),INDEX(Batch_Data!$G:$G,B31))</f>
        <v>98.4</v>
      </c>
      <c r="E31">
        <f>IF(B31="",NA(),APQR_Summary!$C$7)</f>
        <v>95</v>
      </c>
      <c r="F31">
        <f>IF(B31="",NA(),APQR_Summary!$C$8)</f>
        <v>105</v>
      </c>
      <c r="G31">
        <f>IF(B31="",NA(),INDEX(Batch_Data!$F:$F,B31))</f>
        <v>99.9</v>
      </c>
    </row>
    <row r="32" spans="1:7" x14ac:dyDescent="0.35">
      <c r="A32">
        <v>31</v>
      </c>
      <c r="B32" cm="1">
        <f t="array" ref="B32">IFERROR(_xlfn.AGGREGATE(15,6,ROW(Batch_Data!$A$2:$A$500)/(Batch_Data!$A$2:$A$500=APQR_Summary!$C$4),A32),"")</f>
        <v>32</v>
      </c>
      <c r="C32" t="str">
        <f>IF(B32="","",INDEX(Batch_Data!$B:$B,B32))</f>
        <v>PCM2531</v>
      </c>
      <c r="D32">
        <f>IF(B32="",NA(),INDEX(Batch_Data!$G:$G,B32))</f>
        <v>100.7</v>
      </c>
      <c r="E32">
        <f>IF(B32="",NA(),APQR_Summary!$C$7)</f>
        <v>95</v>
      </c>
      <c r="F32">
        <f>IF(B32="",NA(),APQR_Summary!$C$8)</f>
        <v>105</v>
      </c>
      <c r="G32">
        <f>IF(B32="",NA(),INDEX(Batch_Data!$F:$F,B32))</f>
        <v>96.1</v>
      </c>
    </row>
    <row r="33" spans="1:7" x14ac:dyDescent="0.35">
      <c r="A33">
        <v>32</v>
      </c>
      <c r="B33" cm="1">
        <f t="array" ref="B33">IFERROR(_xlfn.AGGREGATE(15,6,ROW(Batch_Data!$A$2:$A$500)/(Batch_Data!$A$2:$A$500=APQR_Summary!$C$4),A33),"")</f>
        <v>33</v>
      </c>
      <c r="C33" t="str">
        <f>IF(B33="","",INDEX(Batch_Data!$B:$B,B33))</f>
        <v>PCM2532</v>
      </c>
      <c r="D33">
        <f>IF(B33="",NA(),INDEX(Batch_Data!$G:$G,B33))</f>
        <v>101.3</v>
      </c>
      <c r="E33">
        <f>IF(B33="",NA(),APQR_Summary!$C$7)</f>
        <v>95</v>
      </c>
      <c r="F33">
        <f>IF(B33="",NA(),APQR_Summary!$C$8)</f>
        <v>105</v>
      </c>
      <c r="G33">
        <f>IF(B33="",NA(),INDEX(Batch_Data!$F:$F,B33))</f>
        <v>96.9</v>
      </c>
    </row>
    <row r="34" spans="1:7" x14ac:dyDescent="0.35">
      <c r="A34">
        <v>33</v>
      </c>
      <c r="B34" cm="1">
        <f t="array" ref="B34">IFERROR(_xlfn.AGGREGATE(15,6,ROW(Batch_Data!$A$2:$A$500)/(Batch_Data!$A$2:$A$500=APQR_Summary!$C$4),A34),"")</f>
        <v>34</v>
      </c>
      <c r="C34" t="str">
        <f>IF(B34="","",INDEX(Batch_Data!$B:$B,B34))</f>
        <v>PCM2533</v>
      </c>
      <c r="D34">
        <f>IF(B34="",NA(),INDEX(Batch_Data!$G:$G,B34))</f>
        <v>98.6</v>
      </c>
      <c r="E34">
        <f>IF(B34="",NA(),APQR_Summary!$C$7)</f>
        <v>95</v>
      </c>
      <c r="F34">
        <f>IF(B34="",NA(),APQR_Summary!$C$8)</f>
        <v>105</v>
      </c>
      <c r="G34">
        <f>IF(B34="",NA(),INDEX(Batch_Data!$F:$F,B34))</f>
        <v>97.3</v>
      </c>
    </row>
    <row r="35" spans="1:7" x14ac:dyDescent="0.35">
      <c r="A35">
        <v>34</v>
      </c>
      <c r="B35" cm="1">
        <f t="array" ref="B35">IFERROR(_xlfn.AGGREGATE(15,6,ROW(Batch_Data!$A$2:$A$500)/(Batch_Data!$A$2:$A$500=APQR_Summary!$C$4),A35),"")</f>
        <v>35</v>
      </c>
      <c r="C35" t="str">
        <f>IF(B35="","",INDEX(Batch_Data!$B:$B,B35))</f>
        <v>PCM2534</v>
      </c>
      <c r="D35">
        <f>IF(B35="",NA(),INDEX(Batch_Data!$G:$G,B35))</f>
        <v>99.2</v>
      </c>
      <c r="E35">
        <f>IF(B35="",NA(),APQR_Summary!$C$7)</f>
        <v>95</v>
      </c>
      <c r="F35">
        <f>IF(B35="",NA(),APQR_Summary!$C$8)</f>
        <v>105</v>
      </c>
      <c r="G35">
        <f>IF(B35="",NA(),INDEX(Batch_Data!$F:$F,B35))</f>
        <v>97</v>
      </c>
    </row>
    <row r="36" spans="1:7" x14ac:dyDescent="0.35">
      <c r="A36">
        <v>35</v>
      </c>
      <c r="B36" cm="1">
        <f t="array" ref="B36">IFERROR(_xlfn.AGGREGATE(15,6,ROW(Batch_Data!$A$2:$A$500)/(Batch_Data!$A$2:$A$500=APQR_Summary!$C$4),A36),"")</f>
        <v>36</v>
      </c>
      <c r="C36" t="str">
        <f>IF(B36="","",INDEX(Batch_Data!$B:$B,B36))</f>
        <v>PCM2535</v>
      </c>
      <c r="D36">
        <f>IF(B36="",NA(),INDEX(Batch_Data!$G:$G,B36))</f>
        <v>99.3</v>
      </c>
      <c r="E36">
        <f>IF(B36="",NA(),APQR_Summary!$C$7)</f>
        <v>95</v>
      </c>
      <c r="F36">
        <f>IF(B36="",NA(),APQR_Summary!$C$8)</f>
        <v>105</v>
      </c>
      <c r="G36">
        <f>IF(B36="",NA(),INDEX(Batch_Data!$F:$F,B36))</f>
        <v>94.9</v>
      </c>
    </row>
    <row r="37" spans="1:7" x14ac:dyDescent="0.35">
      <c r="A37">
        <v>36</v>
      </c>
      <c r="B37" cm="1">
        <f t="array" ref="B37">IFERROR(_xlfn.AGGREGATE(15,6,ROW(Batch_Data!$A$2:$A$500)/(Batch_Data!$A$2:$A$500=APQR_Summary!$C$4),A37),"")</f>
        <v>37</v>
      </c>
      <c r="C37" t="str">
        <f>IF(B37="","",INDEX(Batch_Data!$B:$B,B37))</f>
        <v>PCM2536</v>
      </c>
      <c r="D37">
        <f>IF(B37="",NA(),INDEX(Batch_Data!$G:$G,B37))</f>
        <v>97.5</v>
      </c>
      <c r="E37">
        <f>IF(B37="",NA(),APQR_Summary!$C$7)</f>
        <v>95</v>
      </c>
      <c r="F37">
        <f>IF(B37="",NA(),APQR_Summary!$C$8)</f>
        <v>105</v>
      </c>
      <c r="G37">
        <f>IF(B37="",NA(),INDEX(Batch_Data!$F:$F,B37))</f>
        <v>96.2</v>
      </c>
    </row>
    <row r="38" spans="1:7" x14ac:dyDescent="0.35">
      <c r="A38">
        <v>37</v>
      </c>
      <c r="B38" cm="1">
        <f t="array" ref="B38">IFERROR(_xlfn.AGGREGATE(15,6,ROW(Batch_Data!$A$2:$A$500)/(Batch_Data!$A$2:$A$500=APQR_Summary!$C$4),A38),"")</f>
        <v>38</v>
      </c>
      <c r="C38" t="str">
        <f>IF(B38="","",INDEX(Batch_Data!$B:$B,B38))</f>
        <v>PCM2537</v>
      </c>
      <c r="D38">
        <f>IF(B38="",NA(),INDEX(Batch_Data!$G:$G,B38))</f>
        <v>100.4</v>
      </c>
      <c r="E38">
        <f>IF(B38="",NA(),APQR_Summary!$C$7)</f>
        <v>95</v>
      </c>
      <c r="F38">
        <f>IF(B38="",NA(),APQR_Summary!$C$8)</f>
        <v>105</v>
      </c>
      <c r="G38">
        <f>IF(B38="",NA(),INDEX(Batch_Data!$F:$F,B38))</f>
        <v>95.1</v>
      </c>
    </row>
    <row r="39" spans="1:7" x14ac:dyDescent="0.35">
      <c r="A39">
        <v>38</v>
      </c>
      <c r="B39" cm="1">
        <f t="array" ref="B39">IFERROR(_xlfn.AGGREGATE(15,6,ROW(Batch_Data!$A$2:$A$500)/(Batch_Data!$A$2:$A$500=APQR_Summary!$C$4),A39),"")</f>
        <v>39</v>
      </c>
      <c r="C39" t="str">
        <f>IF(B39="","",INDEX(Batch_Data!$B:$B,B39))</f>
        <v>PCM2538</v>
      </c>
      <c r="D39">
        <f>IF(B39="",NA(),INDEX(Batch_Data!$G:$G,B39))</f>
        <v>100.6</v>
      </c>
      <c r="E39">
        <f>IF(B39="",NA(),APQR_Summary!$C$7)</f>
        <v>95</v>
      </c>
      <c r="F39">
        <f>IF(B39="",NA(),APQR_Summary!$C$8)</f>
        <v>105</v>
      </c>
      <c r="G39">
        <f>IF(B39="",NA(),INDEX(Batch_Data!$F:$F,B39))</f>
        <v>94</v>
      </c>
    </row>
    <row r="40" spans="1:7" x14ac:dyDescent="0.35">
      <c r="A40">
        <v>39</v>
      </c>
      <c r="B40" cm="1">
        <f t="array" ref="B40">IFERROR(_xlfn.AGGREGATE(15,6,ROW(Batch_Data!$A$2:$A$500)/(Batch_Data!$A$2:$A$500=APQR_Summary!$C$4),A40),"")</f>
        <v>40</v>
      </c>
      <c r="C40" t="str">
        <f>IF(B40="","",INDEX(Batch_Data!$B:$B,B40))</f>
        <v>PCM2539</v>
      </c>
      <c r="D40">
        <f>IF(B40="",NA(),INDEX(Batch_Data!$G:$G,B40))</f>
        <v>101.2</v>
      </c>
      <c r="E40">
        <f>IF(B40="",NA(),APQR_Summary!$C$7)</f>
        <v>95</v>
      </c>
      <c r="F40">
        <f>IF(B40="",NA(),APQR_Summary!$C$8)</f>
        <v>105</v>
      </c>
      <c r="G40">
        <f>IF(B40="",NA(),INDEX(Batch_Data!$F:$F,B40))</f>
        <v>95.5</v>
      </c>
    </row>
    <row r="41" spans="1:7" x14ac:dyDescent="0.35">
      <c r="A41">
        <v>40</v>
      </c>
      <c r="B41" cm="1">
        <f t="array" ref="B41">IFERROR(_xlfn.AGGREGATE(15,6,ROW(Batch_Data!$A$2:$A$500)/(Batch_Data!$A$2:$A$500=APQR_Summary!$C$4),A41),"")</f>
        <v>41</v>
      </c>
      <c r="C41" t="str">
        <f>IF(B41="","",INDEX(Batch_Data!$B:$B,B41))</f>
        <v>PCM2540</v>
      </c>
      <c r="D41">
        <f>IF(B41="",NA(),INDEX(Batch_Data!$G:$G,B41))</f>
        <v>102.4</v>
      </c>
      <c r="E41">
        <f>IF(B41="",NA(),APQR_Summary!$C$7)</f>
        <v>95</v>
      </c>
      <c r="F41">
        <f>IF(B41="",NA(),APQR_Summary!$C$8)</f>
        <v>105</v>
      </c>
      <c r="G41">
        <f>IF(B41="",NA(),INDEX(Batch_Data!$F:$F,B41))</f>
        <v>97</v>
      </c>
    </row>
    <row r="42" spans="1:7" x14ac:dyDescent="0.35">
      <c r="A42">
        <v>41</v>
      </c>
      <c r="B42" cm="1">
        <f t="array" ref="B42">IFERROR(_xlfn.AGGREGATE(15,6,ROW(Batch_Data!$A$2:$A$500)/(Batch_Data!$A$2:$A$500=APQR_Summary!$C$4),A42),"")</f>
        <v>42</v>
      </c>
      <c r="C42" t="str">
        <f>IF(B42="","",INDEX(Batch_Data!$B:$B,B42))</f>
        <v>PCM2541</v>
      </c>
      <c r="D42">
        <f>IF(B42="",NA(),INDEX(Batch_Data!$G:$G,B42))</f>
        <v>99.9</v>
      </c>
      <c r="E42">
        <f>IF(B42="",NA(),APQR_Summary!$C$7)</f>
        <v>95</v>
      </c>
      <c r="F42">
        <f>IF(B42="",NA(),APQR_Summary!$C$8)</f>
        <v>105</v>
      </c>
      <c r="G42">
        <f>IF(B42="",NA(),INDEX(Batch_Data!$F:$F,B42))</f>
        <v>96.3</v>
      </c>
    </row>
    <row r="43" spans="1:7" x14ac:dyDescent="0.35">
      <c r="A43">
        <v>42</v>
      </c>
      <c r="B43" cm="1">
        <f t="array" ref="B43">IFERROR(_xlfn.AGGREGATE(15,6,ROW(Batch_Data!$A$2:$A$500)/(Batch_Data!$A$2:$A$500=APQR_Summary!$C$4),A43),"")</f>
        <v>43</v>
      </c>
      <c r="C43" t="str">
        <f>IF(B43="","",INDEX(Batch_Data!$B:$B,B43))</f>
        <v>PCM2542</v>
      </c>
      <c r="D43">
        <f>IF(B43="",NA(),INDEX(Batch_Data!$G:$G,B43))</f>
        <v>102.1</v>
      </c>
      <c r="E43">
        <f>IF(B43="",NA(),APQR_Summary!$C$7)</f>
        <v>95</v>
      </c>
      <c r="F43">
        <f>IF(B43="",NA(),APQR_Summary!$C$8)</f>
        <v>105</v>
      </c>
      <c r="G43">
        <f>IF(B43="",NA(),INDEX(Batch_Data!$F:$F,B43))</f>
        <v>96.1</v>
      </c>
    </row>
    <row r="44" spans="1:7" x14ac:dyDescent="0.35">
      <c r="A44">
        <v>43</v>
      </c>
      <c r="B44" cm="1">
        <f t="array" ref="B44">IFERROR(_xlfn.AGGREGATE(15,6,ROW(Batch_Data!$A$2:$A$500)/(Batch_Data!$A$2:$A$500=APQR_Summary!$C$4),A44),"")</f>
        <v>44</v>
      </c>
      <c r="C44" t="str">
        <f>IF(B44="","",INDEX(Batch_Data!$B:$B,B44))</f>
        <v>PCM2543</v>
      </c>
      <c r="D44">
        <f>IF(B44="",NA(),INDEX(Batch_Data!$G:$G,B44))</f>
        <v>102.4</v>
      </c>
      <c r="E44">
        <f>IF(B44="",NA(),APQR_Summary!$C$7)</f>
        <v>95</v>
      </c>
      <c r="F44">
        <f>IF(B44="",NA(),APQR_Summary!$C$8)</f>
        <v>105</v>
      </c>
      <c r="G44">
        <f>IF(B44="",NA(),INDEX(Batch_Data!$F:$F,B44))</f>
        <v>99</v>
      </c>
    </row>
    <row r="45" spans="1:7" x14ac:dyDescent="0.35">
      <c r="A45">
        <v>44</v>
      </c>
      <c r="B45" cm="1">
        <f t="array" ref="B45">IFERROR(_xlfn.AGGREGATE(15,6,ROW(Batch_Data!$A$2:$A$500)/(Batch_Data!$A$2:$A$500=APQR_Summary!$C$4),A45),"")</f>
        <v>45</v>
      </c>
      <c r="C45" t="str">
        <f>IF(B45="","",INDEX(Batch_Data!$B:$B,B45))</f>
        <v>PCM2544</v>
      </c>
      <c r="D45">
        <f>IF(B45="",NA(),INDEX(Batch_Data!$G:$G,B45))</f>
        <v>101.4</v>
      </c>
      <c r="E45">
        <f>IF(B45="",NA(),APQR_Summary!$C$7)</f>
        <v>95</v>
      </c>
      <c r="F45">
        <f>IF(B45="",NA(),APQR_Summary!$C$8)</f>
        <v>105</v>
      </c>
      <c r="G45">
        <f>IF(B45="",NA(),INDEX(Batch_Data!$F:$F,B45))</f>
        <v>95.1</v>
      </c>
    </row>
    <row r="46" spans="1:7" x14ac:dyDescent="0.35">
      <c r="A46">
        <v>45</v>
      </c>
      <c r="B46" cm="1">
        <f t="array" ref="B46">IFERROR(_xlfn.AGGREGATE(15,6,ROW(Batch_Data!$A$2:$A$500)/(Batch_Data!$A$2:$A$500=APQR_Summary!$C$4),A46),"")</f>
        <v>46</v>
      </c>
      <c r="C46" t="str">
        <f>IF(B46="","",INDEX(Batch_Data!$B:$B,B46))</f>
        <v>PCM2545</v>
      </c>
      <c r="D46">
        <f>IF(B46="",NA(),INDEX(Batch_Data!$G:$G,B46))</f>
        <v>101.4</v>
      </c>
      <c r="E46">
        <f>IF(B46="",NA(),APQR_Summary!$C$7)</f>
        <v>95</v>
      </c>
      <c r="F46">
        <f>IF(B46="",NA(),APQR_Summary!$C$8)</f>
        <v>105</v>
      </c>
      <c r="G46">
        <f>IF(B46="",NA(),INDEX(Batch_Data!$F:$F,B46))</f>
        <v>99.3</v>
      </c>
    </row>
    <row r="47" spans="1:7" x14ac:dyDescent="0.35">
      <c r="A47">
        <v>46</v>
      </c>
      <c r="B47" cm="1">
        <f t="array" ref="B47">IFERROR(_xlfn.AGGREGATE(15,6,ROW(Batch_Data!$A$2:$A$500)/(Batch_Data!$A$2:$A$500=APQR_Summary!$C$4),A47),"")</f>
        <v>47</v>
      </c>
      <c r="C47" t="str">
        <f>IF(B47="","",INDEX(Batch_Data!$B:$B,B47))</f>
        <v>PCM2546</v>
      </c>
      <c r="D47">
        <f>IF(B47="",NA(),INDEX(Batch_Data!$G:$G,B47))</f>
        <v>102.4</v>
      </c>
      <c r="E47">
        <f>IF(B47="",NA(),APQR_Summary!$C$7)</f>
        <v>95</v>
      </c>
      <c r="F47">
        <f>IF(B47="",NA(),APQR_Summary!$C$8)</f>
        <v>105</v>
      </c>
      <c r="G47">
        <f>IF(B47="",NA(),INDEX(Batch_Data!$F:$F,B47))</f>
        <v>100.2</v>
      </c>
    </row>
    <row r="48" spans="1:7" x14ac:dyDescent="0.35">
      <c r="A48">
        <v>47</v>
      </c>
      <c r="B48" cm="1">
        <f t="array" ref="B48">IFERROR(_xlfn.AGGREGATE(15,6,ROW(Batch_Data!$A$2:$A$500)/(Batch_Data!$A$2:$A$500=APQR_Summary!$C$4),A48),"")</f>
        <v>48</v>
      </c>
      <c r="C48" t="str">
        <f>IF(B48="","",INDEX(Batch_Data!$B:$B,B48))</f>
        <v>PCM2547</v>
      </c>
      <c r="D48">
        <f>IF(B48="",NA(),INDEX(Batch_Data!$G:$G,B48))</f>
        <v>100.5</v>
      </c>
      <c r="E48">
        <f>IF(B48="",NA(),APQR_Summary!$C$7)</f>
        <v>95</v>
      </c>
      <c r="F48">
        <f>IF(B48="",NA(),APQR_Summary!$C$8)</f>
        <v>105</v>
      </c>
      <c r="G48">
        <f>IF(B48="",NA(),INDEX(Batch_Data!$F:$F,B48))</f>
        <v>98.9</v>
      </c>
    </row>
    <row r="49" spans="1:7" x14ac:dyDescent="0.35">
      <c r="A49">
        <v>48</v>
      </c>
      <c r="B49" cm="1">
        <f t="array" ref="B49">IFERROR(_xlfn.AGGREGATE(15,6,ROW(Batch_Data!$A$2:$A$500)/(Batch_Data!$A$2:$A$500=APQR_Summary!$C$4),A49),"")</f>
        <v>49</v>
      </c>
      <c r="C49" t="str">
        <f>IF(B49="","",INDEX(Batch_Data!$B:$B,B49))</f>
        <v>PCM2548</v>
      </c>
      <c r="D49">
        <f>IF(B49="",NA(),INDEX(Batch_Data!$G:$G,B49))</f>
        <v>99</v>
      </c>
      <c r="E49">
        <f>IF(B49="",NA(),APQR_Summary!$C$7)</f>
        <v>95</v>
      </c>
      <c r="F49">
        <f>IF(B49="",NA(),APQR_Summary!$C$8)</f>
        <v>105</v>
      </c>
      <c r="G49">
        <f>IF(B49="",NA(),INDEX(Batch_Data!$F:$F,B49))</f>
        <v>95.7</v>
      </c>
    </row>
    <row r="50" spans="1:7" x14ac:dyDescent="0.35">
      <c r="A50">
        <v>49</v>
      </c>
      <c r="B50" cm="1">
        <f t="array" ref="B50">IFERROR(_xlfn.AGGREGATE(15,6,ROW(Batch_Data!$A$2:$A$500)/(Batch_Data!$A$2:$A$500=APQR_Summary!$C$4),A50),"")</f>
        <v>50</v>
      </c>
      <c r="C50" t="str">
        <f>IF(B50="","",INDEX(Batch_Data!$B:$B,B50))</f>
        <v>PCM2549</v>
      </c>
      <c r="D50">
        <f>IF(B50="",NA(),INDEX(Batch_Data!$G:$G,B50))</f>
        <v>97.8</v>
      </c>
      <c r="E50">
        <f>IF(B50="",NA(),APQR_Summary!$C$7)</f>
        <v>95</v>
      </c>
      <c r="F50">
        <f>IF(B50="",NA(),APQR_Summary!$C$8)</f>
        <v>105</v>
      </c>
      <c r="G50">
        <f>IF(B50="",NA(),INDEX(Batch_Data!$F:$F,B50))</f>
        <v>100.4</v>
      </c>
    </row>
    <row r="51" spans="1:7" x14ac:dyDescent="0.35">
      <c r="A51">
        <v>50</v>
      </c>
      <c r="B51" cm="1">
        <f t="array" ref="B51">IFERROR(_xlfn.AGGREGATE(15,6,ROW(Batch_Data!$A$2:$A$500)/(Batch_Data!$A$2:$A$500=APQR_Summary!$C$4),A51),"")</f>
        <v>51</v>
      </c>
      <c r="C51" t="str">
        <f>IF(B51="","",INDEX(Batch_Data!$B:$B,B51))</f>
        <v>PCM2550</v>
      </c>
      <c r="D51">
        <f>IF(B51="",NA(),INDEX(Batch_Data!$G:$G,B51))</f>
        <v>101.6</v>
      </c>
      <c r="E51">
        <f>IF(B51="",NA(),APQR_Summary!$C$7)</f>
        <v>95</v>
      </c>
      <c r="F51">
        <f>IF(B51="",NA(),APQR_Summary!$C$8)</f>
        <v>105</v>
      </c>
      <c r="G51">
        <f>IF(B51="",NA(),INDEX(Batch_Data!$F:$F,B51))</f>
        <v>97.6</v>
      </c>
    </row>
    <row r="52" spans="1:7" x14ac:dyDescent="0.35">
      <c r="A52">
        <v>51</v>
      </c>
      <c r="B52" cm="1">
        <f t="array" ref="B52">IFERROR(_xlfn.AGGREGATE(15,6,ROW(Batch_Data!$A$2:$A$500)/(Batch_Data!$A$2:$A$500=APQR_Summary!$C$4),A52),"")</f>
        <v>52</v>
      </c>
      <c r="C52" t="str">
        <f>IF(B52="","",INDEX(Batch_Data!$B:$B,B52))</f>
        <v>PCM2551</v>
      </c>
      <c r="D52">
        <f>IF(B52="",NA(),INDEX(Batch_Data!$G:$G,B52))</f>
        <v>102.4</v>
      </c>
      <c r="E52">
        <f>IF(B52="",NA(),APQR_Summary!$C$7)</f>
        <v>95</v>
      </c>
      <c r="F52">
        <f>IF(B52="",NA(),APQR_Summary!$C$8)</f>
        <v>105</v>
      </c>
      <c r="G52">
        <f>IF(B52="",NA(),INDEX(Batch_Data!$F:$F,B52))</f>
        <v>97.5</v>
      </c>
    </row>
    <row r="53" spans="1:7" x14ac:dyDescent="0.35">
      <c r="A53">
        <v>52</v>
      </c>
      <c r="B53" cm="1">
        <f t="array" ref="B53">IFERROR(_xlfn.AGGREGATE(15,6,ROW(Batch_Data!$A$2:$A$500)/(Batch_Data!$A$2:$A$500=APQR_Summary!$C$4),A53),"")</f>
        <v>53</v>
      </c>
      <c r="C53" t="str">
        <f>IF(B53="","",INDEX(Batch_Data!$B:$B,B53))</f>
        <v>PCM2552</v>
      </c>
      <c r="D53">
        <f>IF(B53="",NA(),INDEX(Batch_Data!$G:$G,B53))</f>
        <v>102</v>
      </c>
      <c r="E53">
        <f>IF(B53="",NA(),APQR_Summary!$C$7)</f>
        <v>95</v>
      </c>
      <c r="F53">
        <f>IF(B53="",NA(),APQR_Summary!$C$8)</f>
        <v>105</v>
      </c>
      <c r="G53">
        <f>IF(B53="",NA(),INDEX(Batch_Data!$F:$F,B53))</f>
        <v>98.5</v>
      </c>
    </row>
    <row r="54" spans="1:7" x14ac:dyDescent="0.35">
      <c r="A54">
        <v>53</v>
      </c>
      <c r="B54" t="str" cm="1">
        <f t="array" ref="B54">IFERROR(_xlfn.AGGREGATE(15,6,ROW(Batch_Data!$A$2:$A$500)/(Batch_Data!$A$2:$A$500=APQR_Summary!$C$4),A54),"")</f>
        <v/>
      </c>
      <c r="C54" t="str">
        <f>IF(B54="","",INDEX(Batch_Data!$B:$B,B54))</f>
        <v/>
      </c>
      <c r="D54" t="e">
        <f>IF(B54="",NA(),INDEX(Batch_Data!$G:$G,B54))</f>
        <v>#N/A</v>
      </c>
      <c r="E54" t="e">
        <f>IF(B54="",NA(),APQR_Summary!$C$7)</f>
        <v>#N/A</v>
      </c>
      <c r="F54" t="e">
        <f>IF(B54="",NA(),APQR_Summary!$C$8)</f>
        <v>#N/A</v>
      </c>
      <c r="G54" t="e">
        <f>IF(B54="",NA(),INDEX(Batch_Data!$F:$F,B54))</f>
        <v>#N/A</v>
      </c>
    </row>
    <row r="55" spans="1:7" x14ac:dyDescent="0.35">
      <c r="A55">
        <v>54</v>
      </c>
      <c r="B55" t="str" cm="1">
        <f t="array" ref="B55">IFERROR(_xlfn.AGGREGATE(15,6,ROW(Batch_Data!$A$2:$A$500)/(Batch_Data!$A$2:$A$500=APQR_Summary!$C$4),A55),"")</f>
        <v/>
      </c>
      <c r="C55" t="str">
        <f>IF(B55="","",INDEX(Batch_Data!$B:$B,B55))</f>
        <v/>
      </c>
      <c r="D55" t="e">
        <f>IF(B55="",NA(),INDEX(Batch_Data!$G:$G,B55))</f>
        <v>#N/A</v>
      </c>
      <c r="E55" t="e">
        <f>IF(B55="",NA(),APQR_Summary!$C$7)</f>
        <v>#N/A</v>
      </c>
      <c r="F55" t="e">
        <f>IF(B55="",NA(),APQR_Summary!$C$8)</f>
        <v>#N/A</v>
      </c>
      <c r="G55" t="e">
        <f>IF(B55="",NA(),INDEX(Batch_Data!$F:$F,B55))</f>
        <v>#N/A</v>
      </c>
    </row>
    <row r="56" spans="1:7" x14ac:dyDescent="0.35">
      <c r="A56">
        <v>55</v>
      </c>
      <c r="B56" t="str" cm="1">
        <f t="array" ref="B56">IFERROR(_xlfn.AGGREGATE(15,6,ROW(Batch_Data!$A$2:$A$500)/(Batch_Data!$A$2:$A$500=APQR_Summary!$C$4),A56),"")</f>
        <v/>
      </c>
      <c r="C56" t="str">
        <f>IF(B56="","",INDEX(Batch_Data!$B:$B,B56))</f>
        <v/>
      </c>
      <c r="D56" t="e">
        <f>IF(B56="",NA(),INDEX(Batch_Data!$G:$G,B56))</f>
        <v>#N/A</v>
      </c>
      <c r="E56" t="e">
        <f>IF(B56="",NA(),APQR_Summary!$C$7)</f>
        <v>#N/A</v>
      </c>
      <c r="F56" t="e">
        <f>IF(B56="",NA(),APQR_Summary!$C$8)</f>
        <v>#N/A</v>
      </c>
      <c r="G56" t="e">
        <f>IF(B56="",NA(),INDEX(Batch_Data!$F:$F,B56))</f>
        <v>#N/A</v>
      </c>
    </row>
    <row r="57" spans="1:7" x14ac:dyDescent="0.35">
      <c r="A57">
        <v>56</v>
      </c>
      <c r="B57" t="str" cm="1">
        <f t="array" ref="B57">IFERROR(_xlfn.AGGREGATE(15,6,ROW(Batch_Data!$A$2:$A$500)/(Batch_Data!$A$2:$A$500=APQR_Summary!$C$4),A57),"")</f>
        <v/>
      </c>
      <c r="C57" t="str">
        <f>IF(B57="","",INDEX(Batch_Data!$B:$B,B57))</f>
        <v/>
      </c>
      <c r="D57" t="e">
        <f>IF(B57="",NA(),INDEX(Batch_Data!$G:$G,B57))</f>
        <v>#N/A</v>
      </c>
      <c r="E57" t="e">
        <f>IF(B57="",NA(),APQR_Summary!$C$7)</f>
        <v>#N/A</v>
      </c>
      <c r="F57" t="e">
        <f>IF(B57="",NA(),APQR_Summary!$C$8)</f>
        <v>#N/A</v>
      </c>
      <c r="G57" t="e">
        <f>IF(B57="",NA(),INDEX(Batch_Data!$F:$F,B57))</f>
        <v>#N/A</v>
      </c>
    </row>
    <row r="58" spans="1:7" x14ac:dyDescent="0.35">
      <c r="A58">
        <v>57</v>
      </c>
      <c r="B58" t="str" cm="1">
        <f t="array" ref="B58">IFERROR(_xlfn.AGGREGATE(15,6,ROW(Batch_Data!$A$2:$A$500)/(Batch_Data!$A$2:$A$500=APQR_Summary!$C$4),A58),"")</f>
        <v/>
      </c>
      <c r="C58" t="str">
        <f>IF(B58="","",INDEX(Batch_Data!$B:$B,B58))</f>
        <v/>
      </c>
      <c r="D58" t="e">
        <f>IF(B58="",NA(),INDEX(Batch_Data!$G:$G,B58))</f>
        <v>#N/A</v>
      </c>
      <c r="E58" t="e">
        <f>IF(B58="",NA(),APQR_Summary!$C$7)</f>
        <v>#N/A</v>
      </c>
      <c r="F58" t="e">
        <f>IF(B58="",NA(),APQR_Summary!$C$8)</f>
        <v>#N/A</v>
      </c>
      <c r="G58" t="e">
        <f>IF(B58="",NA(),INDEX(Batch_Data!$F:$F,B58))</f>
        <v>#N/A</v>
      </c>
    </row>
    <row r="59" spans="1:7" x14ac:dyDescent="0.35">
      <c r="A59">
        <v>58</v>
      </c>
      <c r="B59" t="str" cm="1">
        <f t="array" ref="B59">IFERROR(_xlfn.AGGREGATE(15,6,ROW(Batch_Data!$A$2:$A$500)/(Batch_Data!$A$2:$A$500=APQR_Summary!$C$4),A59),"")</f>
        <v/>
      </c>
      <c r="C59" t="str">
        <f>IF(B59="","",INDEX(Batch_Data!$B:$B,B59))</f>
        <v/>
      </c>
      <c r="D59" t="e">
        <f>IF(B59="",NA(),INDEX(Batch_Data!$G:$G,B59))</f>
        <v>#N/A</v>
      </c>
      <c r="E59" t="e">
        <f>IF(B59="",NA(),APQR_Summary!$C$7)</f>
        <v>#N/A</v>
      </c>
      <c r="F59" t="e">
        <f>IF(B59="",NA(),APQR_Summary!$C$8)</f>
        <v>#N/A</v>
      </c>
      <c r="G59" t="e">
        <f>IF(B59="",NA(),INDEX(Batch_Data!$F:$F,B59))</f>
        <v>#N/A</v>
      </c>
    </row>
    <row r="60" spans="1:7" x14ac:dyDescent="0.35">
      <c r="A60">
        <v>59</v>
      </c>
      <c r="B60" t="str" cm="1">
        <f t="array" ref="B60">IFERROR(_xlfn.AGGREGATE(15,6,ROW(Batch_Data!$A$2:$A$500)/(Batch_Data!$A$2:$A$500=APQR_Summary!$C$4),A60),"")</f>
        <v/>
      </c>
      <c r="C60" t="str">
        <f>IF(B60="","",INDEX(Batch_Data!$B:$B,B60))</f>
        <v/>
      </c>
      <c r="D60" t="e">
        <f>IF(B60="",NA(),INDEX(Batch_Data!$G:$G,B60))</f>
        <v>#N/A</v>
      </c>
      <c r="E60" t="e">
        <f>IF(B60="",NA(),APQR_Summary!$C$7)</f>
        <v>#N/A</v>
      </c>
      <c r="F60" t="e">
        <f>IF(B60="",NA(),APQR_Summary!$C$8)</f>
        <v>#N/A</v>
      </c>
      <c r="G60" t="e">
        <f>IF(B60="",NA(),INDEX(Batch_Data!$F:$F,B60))</f>
        <v>#N/A</v>
      </c>
    </row>
    <row r="61" spans="1:7" x14ac:dyDescent="0.35">
      <c r="A61">
        <v>60</v>
      </c>
      <c r="B61" t="str" cm="1">
        <f t="array" ref="B61">IFERROR(_xlfn.AGGREGATE(15,6,ROW(Batch_Data!$A$2:$A$500)/(Batch_Data!$A$2:$A$500=APQR_Summary!$C$4),A61),"")</f>
        <v/>
      </c>
      <c r="C61" t="str">
        <f>IF(B61="","",INDEX(Batch_Data!$B:$B,B61))</f>
        <v/>
      </c>
      <c r="D61" t="e">
        <f>IF(B61="",NA(),INDEX(Batch_Data!$G:$G,B61))</f>
        <v>#N/A</v>
      </c>
      <c r="E61" t="e">
        <f>IF(B61="",NA(),APQR_Summary!$C$7)</f>
        <v>#N/A</v>
      </c>
      <c r="F61" t="e">
        <f>IF(B61="",NA(),APQR_Summary!$C$8)</f>
        <v>#N/A</v>
      </c>
      <c r="G61" t="e">
        <f>IF(B61="",NA(),INDEX(Batch_Data!$F:$F,B61))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APQR_Summary</vt:lpstr>
      <vt:lpstr>Batch_Data</vt:lpstr>
      <vt:lpstr>Product_Setup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2026-10-04T15:52:58Z</dcterms:created>
  <dcterms:modified xsi:type="dcterms:W3CDTF">2026-10-04T15:53:26Z</dcterms:modified>
</cp:coreProperties>
</file>