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5851d3c51313d/Desktop/Job Search/Dashboards/"/>
    </mc:Choice>
  </mc:AlternateContent>
  <xr:revisionPtr revIDLastSave="1" documentId="8_{D521D2EC-634C-4C1E-A718-A159A41C4AE5}" xr6:coauthVersionLast="47" xr6:coauthVersionMax="47" xr10:uidLastSave="{0D4F957F-2462-4862-8C03-33BECAB72ED8}"/>
  <bookViews>
    <workbookView xWindow="-110" yWindow="-110" windowWidth="19420" windowHeight="10300" activeTab="1" xr2:uid="{42462145-1DF6-424F-9F95-B2DA3204088F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2" l="1"/>
  <c r="L12" i="2"/>
  <c r="G12" i="2"/>
  <c r="B12" i="2"/>
  <c r="Q8" i="2"/>
  <c r="L8" i="2"/>
  <c r="G8" i="2"/>
  <c r="B8" i="2"/>
  <c r="AH5" i="2"/>
  <c r="AH4" i="2"/>
  <c r="AH3" i="2"/>
  <c r="AH2" i="2"/>
  <c r="W2" i="2"/>
  <c r="AD13" i="2" s="1"/>
  <c r="W1" i="2"/>
  <c r="Y7" i="2" l="1"/>
  <c r="AC4" i="2"/>
  <c r="Y2" i="2"/>
  <c r="AB11" i="2"/>
  <c r="Z2" i="2"/>
  <c r="AA2" i="2" s="1"/>
  <c r="AB5" i="2"/>
  <c r="Z8" i="2"/>
  <c r="AB12" i="2"/>
  <c r="AB2" i="2"/>
  <c r="AC5" i="2"/>
  <c r="AE8" i="2"/>
  <c r="AC12" i="2"/>
  <c r="AB13" i="2"/>
  <c r="AB4" i="2"/>
  <c r="Z10" i="2"/>
  <c r="AA10" i="2" s="1"/>
  <c r="AD7" i="2"/>
  <c r="AD4" i="2"/>
  <c r="Z3" i="2"/>
  <c r="AA3" i="2" s="1"/>
  <c r="AB3" i="2"/>
  <c r="AC13" i="2"/>
  <c r="Z11" i="2"/>
  <c r="AA11" i="2" s="1"/>
  <c r="Y8" i="2"/>
  <c r="AD5" i="2"/>
  <c r="Y9" i="2"/>
  <c r="AC6" i="2"/>
  <c r="Z9" i="2"/>
  <c r="AC3" i="2"/>
  <c r="AD6" i="2"/>
  <c r="Y10" i="2"/>
  <c r="AA9" i="2"/>
  <c r="AC11" i="2"/>
  <c r="AD3" i="2"/>
  <c r="Y6" i="2"/>
  <c r="AA8" i="2"/>
  <c r="AC10" i="2"/>
  <c r="AD2" i="2"/>
  <c r="AE3" i="2"/>
  <c r="Y5" i="2"/>
  <c r="Z6" i="2"/>
  <c r="AE6" i="2" s="1"/>
  <c r="AB8" i="2"/>
  <c r="AC9" i="2"/>
  <c r="AD10" i="2"/>
  <c r="AE11" i="2"/>
  <c r="Y13" i="2"/>
  <c r="AE2" i="2"/>
  <c r="Y4" i="2"/>
  <c r="Z5" i="2"/>
  <c r="AE5" i="2" s="1"/>
  <c r="AB7" i="2"/>
  <c r="AC8" i="2"/>
  <c r="AD9" i="2"/>
  <c r="AE10" i="2"/>
  <c r="Y12" i="2"/>
  <c r="Z13" i="2"/>
  <c r="AA13" i="2" s="1"/>
  <c r="AB10" i="2"/>
  <c r="AD12" i="2"/>
  <c r="AC2" i="2"/>
  <c r="Z7" i="2"/>
  <c r="AE7" i="2" s="1"/>
  <c r="AB9" i="2"/>
  <c r="AD11" i="2"/>
  <c r="Y3" i="2"/>
  <c r="Z4" i="2"/>
  <c r="AA4" i="2" s="1"/>
  <c r="AA5" i="2"/>
  <c r="AB6" i="2"/>
  <c r="AC7" i="2"/>
  <c r="AD8" i="2"/>
  <c r="AE9" i="2"/>
  <c r="Y11" i="2"/>
  <c r="Z12" i="2"/>
  <c r="AA12" i="2" s="1"/>
  <c r="AE12" i="2" l="1"/>
  <c r="AE4" i="2"/>
  <c r="AA6" i="2"/>
  <c r="AA7" i="2"/>
  <c r="AE13" i="2"/>
</calcChain>
</file>

<file path=xl/sharedStrings.xml><?xml version="1.0" encoding="utf-8"?>
<sst xmlns="http://schemas.openxmlformats.org/spreadsheetml/2006/main" count="343" uniqueCount="38">
  <si>
    <t>Month</t>
  </si>
  <si>
    <t>MonthNo</t>
  </si>
  <si>
    <t>Department</t>
  </si>
  <si>
    <t>Region</t>
  </si>
  <si>
    <t>TargetOrders</t>
  </si>
  <si>
    <t>DeliveredOrders</t>
  </si>
  <si>
    <t>OnTimeOrders</t>
  </si>
  <si>
    <t>Revenue</t>
  </si>
  <si>
    <t>COGS</t>
  </si>
  <si>
    <t>OpCost</t>
  </si>
  <si>
    <t>DeliveryDaysTotal</t>
  </si>
  <si>
    <t>DefectOrders</t>
  </si>
  <si>
    <t>Logistics</t>
  </si>
  <si>
    <t>North</t>
  </si>
  <si>
    <t>South</t>
  </si>
  <si>
    <t>East</t>
  </si>
  <si>
    <t>West</t>
  </si>
  <si>
    <t>Operations</t>
  </si>
  <si>
    <t>Supply Chain</t>
  </si>
  <si>
    <t>SAMPLE DATA - made up for portfolio demo</t>
  </si>
  <si>
    <t>DeptCrit</t>
  </si>
  <si>
    <t>RegCrit</t>
  </si>
  <si>
    <t>Target Orders</t>
  </si>
  <si>
    <t>Delivered Orders</t>
  </si>
  <si>
    <t>SLA Compliance %</t>
  </si>
  <si>
    <t>Margin %</t>
  </si>
  <si>
    <t>Gross Profit</t>
  </si>
  <si>
    <t>Operational Cost</t>
  </si>
  <si>
    <t>Defect Rate %</t>
  </si>
  <si>
    <t>DeptList</t>
  </si>
  <si>
    <t>All</t>
  </si>
  <si>
    <t>RegList</t>
  </si>
  <si>
    <t>OPERATIONS &amp; LOGISTICS MIS REPORT  |  SAMPLE DATA</t>
  </si>
  <si>
    <t>&lt;&lt; pick Department / Region, whole report updates</t>
  </si>
  <si>
    <t>Order Achievement %</t>
  </si>
  <si>
    <t>Avg Delivery Days</t>
  </si>
  <si>
    <t>Avg Defect Rate %</t>
  </si>
  <si>
    <t>SAMPLE DATA: all numbers are made up for portfolio demonstration. Not real company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</si>
</sst>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24"/>
      <color rgb="FF123456"/>
      <name val="Calibri"/>
      <family val="2"/>
      <scheme val="minor"/>
    </font>
    <font>
      <b/>
      <sz val="11"/>
      <color rgb="FF009688"/>
      <name val="Calibri"/>
      <family val="2"/>
      <scheme val="minor"/>
    </font>
    <font>
      <i/>
      <sz val="9"/>
      <color rgb="FF64748B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22"/>
      <color rgb="FF12345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9688"/>
      </bottom>
      <diagonal/>
    </border>
    <border>
      <left style="medium">
        <color rgb="FF009688"/>
      </left>
      <right style="medium">
        <color rgb="FF009688"/>
      </right>
      <top style="medium">
        <color rgb="FF009688"/>
      </top>
      <bottom style="medium">
        <color rgb="FF00968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" fontId="0" fillId="0" borderId="0" xfId="0" applyNumberForma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16" fontId="4" fillId="3" borderId="0" xfId="0" applyNumberFormat="1" applyFont="1" applyFill="1"/>
    <xf numFmtId="164" fontId="4" fillId="3" borderId="0" xfId="0" applyNumberFormat="1" applyFont="1" applyFill="1"/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7" fillId="3" borderId="0" xfId="0" applyFont="1" applyFill="1"/>
    <xf numFmtId="0" fontId="0" fillId="4" borderId="0" xfId="0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3" fontId="9" fillId="4" borderId="6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23456"/>
                </a:solidFill>
              </a:defRPr>
            </a:pPr>
            <a:r>
              <a:rPr lang="en-US"/>
              <a:t>Target vs Delivered Orders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Dashboard!$Y$1</c:f>
              <c:strCache>
                <c:ptCount val="1"/>
                <c:pt idx="0">
                  <c:v>Target Orders</c:v>
                </c:pt>
              </c:strCache>
            </c:strRef>
          </c:tx>
          <c:spPr>
            <a:ln>
              <a:solidFill>
                <a:srgbClr val="F59E0B"/>
              </a:solidFill>
            </a:ln>
          </c:spPr>
          <c:marker>
            <c:spPr>
              <a:ln>
                <a:solidFill>
                  <a:srgbClr val="F59E0B"/>
                </a:solidFill>
              </a:ln>
            </c:spPr>
          </c:marker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Dashboard!$Y$2:$Y$13</c:f>
              <c:numCache>
                <c:formatCode>General</c:formatCode>
                <c:ptCount val="12"/>
                <c:pt idx="0">
                  <c:v>5569</c:v>
                </c:pt>
                <c:pt idx="1">
                  <c:v>5652</c:v>
                </c:pt>
                <c:pt idx="2">
                  <c:v>5588</c:v>
                </c:pt>
                <c:pt idx="3">
                  <c:v>5915</c:v>
                </c:pt>
                <c:pt idx="4">
                  <c:v>5912</c:v>
                </c:pt>
                <c:pt idx="5">
                  <c:v>5965</c:v>
                </c:pt>
                <c:pt idx="6">
                  <c:v>6170</c:v>
                </c:pt>
                <c:pt idx="7">
                  <c:v>6392</c:v>
                </c:pt>
                <c:pt idx="8">
                  <c:v>6176</c:v>
                </c:pt>
                <c:pt idx="9">
                  <c:v>6558</c:v>
                </c:pt>
                <c:pt idx="10">
                  <c:v>6586</c:v>
                </c:pt>
                <c:pt idx="11">
                  <c:v>6739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90-41D1-B26B-FB8411663EDA}"/>
            </c:ext>
          </c:extLst>
        </c:ser>
        <c:ser>
          <c:idx val="1"/>
          <c:order val="1"/>
          <c:tx>
            <c:strRef>
              <c:f>Dashboard!$Z$1</c:f>
              <c:strCache>
                <c:ptCount val="1"/>
                <c:pt idx="0">
                  <c:v>Delivered Orders</c:v>
                </c:pt>
              </c:strCache>
            </c:strRef>
          </c:tx>
          <c:spPr>
            <a:ln>
              <a:solidFill>
                <a:srgbClr val="009688"/>
              </a:solidFill>
            </a:ln>
          </c:spPr>
          <c:marker>
            <c:spPr>
              <a:ln>
                <a:solidFill>
                  <a:srgbClr val="009688"/>
                </a:solidFill>
              </a:ln>
            </c:spPr>
          </c:marker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Dashboard!$Z$2:$Z$13</c:f>
              <c:numCache>
                <c:formatCode>General</c:formatCode>
                <c:ptCount val="12"/>
                <c:pt idx="0">
                  <c:v>5261</c:v>
                </c:pt>
                <c:pt idx="1">
                  <c:v>5177</c:v>
                </c:pt>
                <c:pt idx="2">
                  <c:v>5127</c:v>
                </c:pt>
                <c:pt idx="3">
                  <c:v>5611</c:v>
                </c:pt>
                <c:pt idx="4">
                  <c:v>5577</c:v>
                </c:pt>
                <c:pt idx="5">
                  <c:v>5672</c:v>
                </c:pt>
                <c:pt idx="6">
                  <c:v>5978</c:v>
                </c:pt>
                <c:pt idx="7">
                  <c:v>6003</c:v>
                </c:pt>
                <c:pt idx="8">
                  <c:v>5896</c:v>
                </c:pt>
                <c:pt idx="9">
                  <c:v>6245</c:v>
                </c:pt>
                <c:pt idx="10">
                  <c:v>6348</c:v>
                </c:pt>
                <c:pt idx="11">
                  <c:v>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90-41D1-B26B-FB8411663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712608"/>
        <c:axId val="792155344"/>
      </c:lineChart>
      <c:dateAx>
        <c:axId val="94371260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792155344"/>
        <c:crosses val="autoZero"/>
        <c:auto val="1"/>
        <c:lblOffset val="100"/>
        <c:baseTimeUnit val="months"/>
      </c:dateAx>
      <c:valAx>
        <c:axId val="792155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37126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rgbClr val="D2DAE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23456"/>
                </a:solidFill>
              </a:defRPr>
            </a:pPr>
            <a:r>
              <a:rPr lang="en-US"/>
              <a:t>SLA Compliance 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Dashboard!$AA$1</c:f>
              <c:strCache>
                <c:ptCount val="1"/>
                <c:pt idx="0">
                  <c:v>SLA Compliance %</c:v>
                </c:pt>
              </c:strCache>
            </c:strRef>
          </c:tx>
          <c:spPr>
            <a:ln>
              <a:solidFill>
                <a:srgbClr val="009688"/>
              </a:solidFill>
            </a:ln>
          </c:spPr>
          <c:marker>
            <c:spPr>
              <a:ln>
                <a:solidFill>
                  <a:srgbClr val="009688"/>
                </a:solidFill>
              </a:ln>
            </c:spPr>
          </c:marker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Dashboard!$AA$2:$AA$13</c:f>
              <c:numCache>
                <c:formatCode>0.0%</c:formatCode>
                <c:ptCount val="12"/>
                <c:pt idx="0">
                  <c:v>0.86409427865424826</c:v>
                </c:pt>
                <c:pt idx="1">
                  <c:v>0.85976434228317555</c:v>
                </c:pt>
                <c:pt idx="2">
                  <c:v>0.88433781938755607</c:v>
                </c:pt>
                <c:pt idx="3">
                  <c:v>0.89413651755480306</c:v>
                </c:pt>
                <c:pt idx="4">
                  <c:v>0.87860857091626321</c:v>
                </c:pt>
                <c:pt idx="5">
                  <c:v>0.88945698166431597</c:v>
                </c:pt>
                <c:pt idx="6">
                  <c:v>0.91217798594847777</c:v>
                </c:pt>
                <c:pt idx="7">
                  <c:v>0.8935532233883059</c:v>
                </c:pt>
                <c:pt idx="8">
                  <c:v>0.88042740841248301</c:v>
                </c:pt>
                <c:pt idx="9">
                  <c:v>0.91833466773418737</c:v>
                </c:pt>
                <c:pt idx="10">
                  <c:v>0.88531821045998738</c:v>
                </c:pt>
                <c:pt idx="11">
                  <c:v>0.89774276624753824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A1-4AD3-A3F2-D514A31E8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789120"/>
        <c:axId val="792169264"/>
      </c:lineChart>
      <c:dateAx>
        <c:axId val="8157891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792169264"/>
        <c:crosses val="autoZero"/>
        <c:auto val="1"/>
        <c:lblOffset val="100"/>
        <c:baseTimeUnit val="months"/>
      </c:dateAx>
      <c:valAx>
        <c:axId val="792169264"/>
        <c:scaling>
          <c:orientation val="minMax"/>
          <c:max val="1"/>
          <c:min val="0.7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8157891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rgbClr val="D2DAE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23456"/>
                </a:solidFill>
              </a:defRPr>
            </a:pPr>
            <a:r>
              <a:rPr lang="en-US"/>
              <a:t>Margin %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Dashboard!$AB$1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E85A4F"/>
              </a:solidFill>
            </a:ln>
          </c:spPr>
          <c:marker>
            <c:spPr>
              <a:ln>
                <a:solidFill>
                  <a:srgbClr val="E85A4F"/>
                </a:solidFill>
              </a:ln>
            </c:spPr>
          </c:marker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Dashboard!$AB$2:$AB$13</c:f>
              <c:numCache>
                <c:formatCode>0.0%</c:formatCode>
                <c:ptCount val="12"/>
                <c:pt idx="0">
                  <c:v>0.31927971550447404</c:v>
                </c:pt>
                <c:pt idx="1">
                  <c:v>0.3119343665129693</c:v>
                </c:pt>
                <c:pt idx="2">
                  <c:v>0.33330588380615145</c:v>
                </c:pt>
                <c:pt idx="3">
                  <c:v>0.31723920679962431</c:v>
                </c:pt>
                <c:pt idx="4">
                  <c:v>0.32282353264765495</c:v>
                </c:pt>
                <c:pt idx="5">
                  <c:v>0.32397138728708597</c:v>
                </c:pt>
                <c:pt idx="6">
                  <c:v>0.31003875654934338</c:v>
                </c:pt>
                <c:pt idx="7">
                  <c:v>0.31580984042657356</c:v>
                </c:pt>
                <c:pt idx="8">
                  <c:v>0.31886833783165036</c:v>
                </c:pt>
                <c:pt idx="9">
                  <c:v>0.32814095383207526</c:v>
                </c:pt>
                <c:pt idx="10">
                  <c:v>0.3154377440232814</c:v>
                </c:pt>
                <c:pt idx="11">
                  <c:v>0.32231676492477168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9-4C4F-9922-5CFA796F3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704416"/>
        <c:axId val="792160624"/>
      </c:lineChart>
      <c:dateAx>
        <c:axId val="94370441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792160624"/>
        <c:crosses val="autoZero"/>
        <c:auto val="1"/>
        <c:lblOffset val="100"/>
        <c:baseTimeUnit val="months"/>
      </c:dateAx>
      <c:valAx>
        <c:axId val="792160624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9437044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rgbClr val="D2DAE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23456"/>
                </a:solidFill>
              </a:defRPr>
            </a:pPr>
            <a:r>
              <a:rPr lang="en-IN"/>
              <a:t>Gross Profit vs Operational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Dashboard!$AC$1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123456"/>
            </a:solidFill>
          </c:spPr>
          <c:invertIfNegative val="0"/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Dashboard!$AC$2:$AC$13</c:f>
              <c:numCache>
                <c:formatCode>General</c:formatCode>
                <c:ptCount val="12"/>
                <c:pt idx="0">
                  <c:v>360023</c:v>
                </c:pt>
                <c:pt idx="1">
                  <c:v>346983</c:v>
                </c:pt>
                <c:pt idx="2">
                  <c:v>380465</c:v>
                </c:pt>
                <c:pt idx="3">
                  <c:v>379663</c:v>
                </c:pt>
                <c:pt idx="4">
                  <c:v>375580</c:v>
                </c:pt>
                <c:pt idx="5">
                  <c:v>389227</c:v>
                </c:pt>
                <c:pt idx="6">
                  <c:v>386463</c:v>
                </c:pt>
                <c:pt idx="7">
                  <c:v>403160</c:v>
                </c:pt>
                <c:pt idx="8">
                  <c:v>403224</c:v>
                </c:pt>
                <c:pt idx="9">
                  <c:v>436752</c:v>
                </c:pt>
                <c:pt idx="10">
                  <c:v>431181</c:v>
                </c:pt>
                <c:pt idx="11">
                  <c:v>469904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46-489C-8CB5-0C072F474DA8}"/>
            </c:ext>
          </c:extLst>
        </c:ser>
        <c:ser>
          <c:idx val="1"/>
          <c:order val="1"/>
          <c:tx>
            <c:strRef>
              <c:f>Dashboard!$AD$1</c:f>
              <c:strCache>
                <c:ptCount val="1"/>
                <c:pt idx="0">
                  <c:v>Operational Cost</c:v>
                </c:pt>
              </c:strCache>
            </c:strRef>
          </c:tx>
          <c:spPr>
            <a:solidFill>
              <a:srgbClr val="F59E0B"/>
            </a:solidFill>
          </c:spPr>
          <c:invertIfNegative val="0"/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Dashboard!$AD$2:$AD$13</c:f>
              <c:numCache>
                <c:formatCode>General</c:formatCode>
                <c:ptCount val="12"/>
                <c:pt idx="0">
                  <c:v>140775</c:v>
                </c:pt>
                <c:pt idx="1">
                  <c:v>143823</c:v>
                </c:pt>
                <c:pt idx="2">
                  <c:v>152548</c:v>
                </c:pt>
                <c:pt idx="3">
                  <c:v>151129</c:v>
                </c:pt>
                <c:pt idx="4">
                  <c:v>140169</c:v>
                </c:pt>
                <c:pt idx="5">
                  <c:v>169213</c:v>
                </c:pt>
                <c:pt idx="6">
                  <c:v>161375</c:v>
                </c:pt>
                <c:pt idx="7">
                  <c:v>162173</c:v>
                </c:pt>
                <c:pt idx="8">
                  <c:v>166588</c:v>
                </c:pt>
                <c:pt idx="9">
                  <c:v>170748</c:v>
                </c:pt>
                <c:pt idx="10">
                  <c:v>183158</c:v>
                </c:pt>
                <c:pt idx="11">
                  <c:v>193893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46-489C-8CB5-0C072F474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837040"/>
        <c:axId val="792050224"/>
      </c:barChart>
      <c:dateAx>
        <c:axId val="81183704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792050224"/>
        <c:crosses val="autoZero"/>
        <c:auto val="1"/>
        <c:lblOffset val="100"/>
        <c:baseTimeUnit val="months"/>
      </c:dateAx>
      <c:valAx>
        <c:axId val="79205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18370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rgbClr val="D2DAE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23456"/>
                </a:solidFill>
              </a:defRPr>
            </a:pPr>
            <a:r>
              <a:rPr lang="en-IN"/>
              <a:t>Orders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Dashboard!$AH$1</c:f>
              <c:strCache>
                <c:ptCount val="1"/>
                <c:pt idx="0">
                  <c:v>Delivered Orders</c:v>
                </c:pt>
              </c:strCache>
            </c:strRef>
          </c:tx>
          <c:spPr>
            <a:solidFill>
              <a:srgbClr val="00968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Dashboard!$AG$2:$AG$5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Dashboard!$AH$2:$AH$5</c:f>
              <c:numCache>
                <c:formatCode>General</c:formatCode>
                <c:ptCount val="4"/>
                <c:pt idx="0">
                  <c:v>16880</c:v>
                </c:pt>
                <c:pt idx="1">
                  <c:v>16833</c:v>
                </c:pt>
                <c:pt idx="2">
                  <c:v>17203</c:v>
                </c:pt>
                <c:pt idx="3">
                  <c:v>18580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3B-4EBB-BC5A-8C9F05950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842144"/>
        <c:axId val="792058384"/>
      </c:barChart>
      <c:catAx>
        <c:axId val="8118421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792058384"/>
        <c:crosses val="autoZero"/>
        <c:auto val="1"/>
        <c:lblAlgn val="ctr"/>
        <c:lblOffset val="100"/>
        <c:noMultiLvlLbl val="0"/>
      </c:catAx>
      <c:valAx>
        <c:axId val="792058384"/>
        <c:scaling>
          <c:orientation val="minMax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8118421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rgbClr val="D2DAE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23456"/>
                </a:solidFill>
              </a:defRPr>
            </a:pPr>
            <a:r>
              <a:rPr lang="en-IN"/>
              <a:t>Defect Rate vs SLA Compliance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Dashboard!$AA$1</c:f>
              <c:strCache>
                <c:ptCount val="1"/>
                <c:pt idx="0">
                  <c:v>SLA Compliance %</c:v>
                </c:pt>
              </c:strCache>
            </c:strRef>
          </c:tx>
          <c:spPr>
            <a:solidFill>
              <a:srgbClr val="009688"/>
            </a:solidFill>
          </c:spPr>
          <c:invertIfNegative val="0"/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Dashboard!$AA$2:$AA$13</c:f>
              <c:numCache>
                <c:formatCode>0.0%</c:formatCode>
                <c:ptCount val="12"/>
                <c:pt idx="0">
                  <c:v>0.86409427865424826</c:v>
                </c:pt>
                <c:pt idx="1">
                  <c:v>0.85976434228317555</c:v>
                </c:pt>
                <c:pt idx="2">
                  <c:v>0.88433781938755607</c:v>
                </c:pt>
                <c:pt idx="3">
                  <c:v>0.89413651755480306</c:v>
                </c:pt>
                <c:pt idx="4">
                  <c:v>0.87860857091626321</c:v>
                </c:pt>
                <c:pt idx="5">
                  <c:v>0.88945698166431597</c:v>
                </c:pt>
                <c:pt idx="6">
                  <c:v>0.91217798594847777</c:v>
                </c:pt>
                <c:pt idx="7">
                  <c:v>0.8935532233883059</c:v>
                </c:pt>
                <c:pt idx="8">
                  <c:v>0.88042740841248301</c:v>
                </c:pt>
                <c:pt idx="9">
                  <c:v>0.91833466773418737</c:v>
                </c:pt>
                <c:pt idx="10">
                  <c:v>0.88531821045998738</c:v>
                </c:pt>
                <c:pt idx="11">
                  <c:v>0.89774276624753824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E6-4528-BB3F-9D079261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1835648"/>
        <c:axId val="792095824"/>
      </c:barChart>
      <c:barChart>
        <c:barDir val="col"/>
        <c:grouping val="clustered"/>
        <c:varyColors val="0"/>
        <c:ser>
          <c:idx val="1"/>
          <c:order val="1"/>
          <c:tx>
            <c:strRef>
              <c:f>Dashboard!$AE$1</c:f>
              <c:strCache>
                <c:ptCount val="1"/>
                <c:pt idx="0">
                  <c:v>Defect Rate %</c:v>
                </c:pt>
              </c:strCache>
            </c:strRef>
          </c:tx>
          <c:spPr>
            <a:solidFill>
              <a:srgbClr val="E85A4F"/>
            </a:solidFill>
          </c:spPr>
          <c:invertIfNegative val="0"/>
          <c:cat>
            <c:numRef>
              <c:f>Dashboard!$X$2:$X$13</c:f>
              <c:numCache>
                <c:formatCode>d\-mmm</c:formatCode>
                <c:ptCount val="12"/>
                <c:pt idx="0">
                  <c:v>46047</c:v>
                </c:pt>
                <c:pt idx="1">
                  <c:v>46078</c:v>
                </c:pt>
                <c:pt idx="2">
                  <c:v>46106</c:v>
                </c:pt>
                <c:pt idx="3">
                  <c:v>46137</c:v>
                </c:pt>
                <c:pt idx="4">
                  <c:v>46167</c:v>
                </c:pt>
                <c:pt idx="5">
                  <c:v>46198</c:v>
                </c:pt>
                <c:pt idx="6">
                  <c:v>46228</c:v>
                </c:pt>
                <c:pt idx="7">
                  <c:v>46259</c:v>
                </c:pt>
                <c:pt idx="8">
                  <c:v>46290</c:v>
                </c:pt>
                <c:pt idx="9">
                  <c:v>46320</c:v>
                </c:pt>
                <c:pt idx="10">
                  <c:v>46351</c:v>
                </c:pt>
                <c:pt idx="11">
                  <c:v>46381</c:v>
                </c:pt>
              </c:numCache>
            </c:numRef>
          </c:cat>
          <c:val>
            <c:numRef>
              <c:f>Dashboard!$AE$2:$AE$13</c:f>
              <c:numCache>
                <c:formatCode>0.0%</c:formatCode>
                <c:ptCount val="12"/>
                <c:pt idx="0">
                  <c:v>4.5808781600456185E-2</c:v>
                </c:pt>
                <c:pt idx="1">
                  <c:v>4.5586246861116474E-2</c:v>
                </c:pt>
                <c:pt idx="2">
                  <c:v>4.1739808855080947E-2</c:v>
                </c:pt>
                <c:pt idx="3">
                  <c:v>4.152557476385671E-2</c:v>
                </c:pt>
                <c:pt idx="4">
                  <c:v>3.9447731755424063E-2</c:v>
                </c:pt>
                <c:pt idx="5">
                  <c:v>3.5084626234132582E-2</c:v>
                </c:pt>
                <c:pt idx="6">
                  <c:v>3.9143526262964204E-2</c:v>
                </c:pt>
                <c:pt idx="7">
                  <c:v>3.5149092120606365E-2</c:v>
                </c:pt>
                <c:pt idx="8">
                  <c:v>3.4260515603799183E-2</c:v>
                </c:pt>
                <c:pt idx="9">
                  <c:v>3.2185748598879106E-2</c:v>
                </c:pt>
                <c:pt idx="10">
                  <c:v>3.2451165721487082E-2</c:v>
                </c:pt>
                <c:pt idx="11">
                  <c:v>3.0904408422966219E-2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E6-4528-BB3F-9D079261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5776704"/>
        <c:axId val="792100144"/>
      </c:barChart>
      <c:dateAx>
        <c:axId val="81183564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792095824"/>
        <c:crosses val="autoZero"/>
        <c:auto val="1"/>
        <c:lblOffset val="100"/>
        <c:baseTimeUnit val="months"/>
      </c:dateAx>
      <c:valAx>
        <c:axId val="792095824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811835648"/>
        <c:crosses val="autoZero"/>
        <c:crossBetween val="between"/>
      </c:valAx>
      <c:valAx>
        <c:axId val="792100144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crossAx val="945776704"/>
        <c:crosses val="max"/>
        <c:crossBetween val="between"/>
      </c:valAx>
      <c:dateAx>
        <c:axId val="94577670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792100144"/>
        <c:auto val="1"/>
        <c:lblOffset val="100"/>
        <c:baseTimeUnit val="months"/>
      </c:date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3175">
      <a:solidFill>
        <a:srgbClr val="D2DAE2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7</xdr:col>
      <xdr:colOff>116417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D7ECB-9EFE-E170-45F1-67E5FCE37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243417</xdr:colOff>
      <xdr:row>14</xdr:row>
      <xdr:rowOff>0</xdr:rowOff>
    </xdr:from>
    <xdr:to>
      <xdr:col>13</xdr:col>
      <xdr:colOff>359834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F2138F-5B85-23E5-5839-D5EC04330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486833</xdr:colOff>
      <xdr:row>14</xdr:row>
      <xdr:rowOff>0</xdr:rowOff>
    </xdr:from>
    <xdr:to>
      <xdr:col>20</xdr:col>
      <xdr:colOff>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A7C770-4689-02FC-B63E-0DE8E8FEC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7</xdr:col>
      <xdr:colOff>116417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74E716-7FB3-BFAE-D95A-812CAD3D8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243417</xdr:colOff>
      <xdr:row>30</xdr:row>
      <xdr:rowOff>0</xdr:rowOff>
    </xdr:from>
    <xdr:to>
      <xdr:col>13</xdr:col>
      <xdr:colOff>359834</xdr:colOff>
      <xdr:row>45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65B6B2-9D6E-500B-907F-D77DB9A17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486833</xdr:colOff>
      <xdr:row>30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1208EE-1852-F807-1697-EF1B3A7E8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6A9D-9CA1-44CA-8509-34E02BE7B523}">
  <dimension ref="A1:N145"/>
  <sheetViews>
    <sheetView workbookViewId="0"/>
  </sheetViews>
  <sheetFormatPr defaultRowHeight="14.5" x14ac:dyDescent="0.35"/>
  <cols>
    <col min="1" max="1" width="7.08984375" bestFit="1" customWidth="1"/>
    <col min="2" max="2" width="8.90625" bestFit="1" customWidth="1"/>
    <col min="3" max="3" width="11.54296875" bestFit="1" customWidth="1"/>
    <col min="4" max="4" width="6.453125" bestFit="1" customWidth="1"/>
    <col min="5" max="5" width="11.90625" bestFit="1" customWidth="1"/>
    <col min="6" max="6" width="14.54296875" bestFit="1" customWidth="1"/>
    <col min="7" max="7" width="13.1796875" bestFit="1" customWidth="1"/>
    <col min="8" max="8" width="8" bestFit="1" customWidth="1"/>
    <col min="9" max="9" width="5.81640625" bestFit="1" customWidth="1"/>
    <col min="10" max="10" width="7" bestFit="1" customWidth="1"/>
    <col min="11" max="11" width="15.90625" bestFit="1" customWidth="1"/>
    <col min="12" max="12" width="12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3" t="s">
        <v>19</v>
      </c>
    </row>
    <row r="2" spans="1:14" x14ac:dyDescent="0.35">
      <c r="A2" s="1">
        <v>46047</v>
      </c>
      <c r="B2">
        <v>1</v>
      </c>
      <c r="C2" t="s">
        <v>12</v>
      </c>
      <c r="D2" t="s">
        <v>13</v>
      </c>
      <c r="E2">
        <v>476</v>
      </c>
      <c r="F2">
        <v>434</v>
      </c>
      <c r="G2">
        <v>365</v>
      </c>
      <c r="H2">
        <v>101556</v>
      </c>
      <c r="I2">
        <v>65199</v>
      </c>
      <c r="J2">
        <v>12085</v>
      </c>
      <c r="K2">
        <v>2126.6</v>
      </c>
      <c r="L2">
        <v>22</v>
      </c>
    </row>
    <row r="3" spans="1:14" x14ac:dyDescent="0.35">
      <c r="A3" s="1">
        <v>46047</v>
      </c>
      <c r="B3">
        <v>1</v>
      </c>
      <c r="C3" t="s">
        <v>12</v>
      </c>
      <c r="D3" t="s">
        <v>14</v>
      </c>
      <c r="E3">
        <v>547</v>
      </c>
      <c r="F3">
        <v>495</v>
      </c>
      <c r="G3">
        <v>448</v>
      </c>
      <c r="H3">
        <v>115830</v>
      </c>
      <c r="I3">
        <v>79807</v>
      </c>
      <c r="J3">
        <v>13668</v>
      </c>
      <c r="K3">
        <v>2029.5</v>
      </c>
      <c r="L3">
        <v>21</v>
      </c>
    </row>
    <row r="4" spans="1:14" x14ac:dyDescent="0.35">
      <c r="A4" s="1">
        <v>46047</v>
      </c>
      <c r="B4">
        <v>1</v>
      </c>
      <c r="C4" t="s">
        <v>12</v>
      </c>
      <c r="D4" t="s">
        <v>15</v>
      </c>
      <c r="E4">
        <v>543</v>
      </c>
      <c r="F4">
        <v>564</v>
      </c>
      <c r="G4">
        <v>482</v>
      </c>
      <c r="H4">
        <v>122952</v>
      </c>
      <c r="I4">
        <v>87050</v>
      </c>
      <c r="J4">
        <v>13648</v>
      </c>
      <c r="K4">
        <v>2368.8000000000002</v>
      </c>
      <c r="L4">
        <v>27</v>
      </c>
    </row>
    <row r="5" spans="1:14" x14ac:dyDescent="0.35">
      <c r="A5" s="1">
        <v>46047</v>
      </c>
      <c r="B5">
        <v>1</v>
      </c>
      <c r="C5" t="s">
        <v>12</v>
      </c>
      <c r="D5" t="s">
        <v>16</v>
      </c>
      <c r="E5">
        <v>552</v>
      </c>
      <c r="F5">
        <v>530</v>
      </c>
      <c r="G5">
        <v>480</v>
      </c>
      <c r="H5">
        <v>121900</v>
      </c>
      <c r="I5">
        <v>79844</v>
      </c>
      <c r="J5">
        <v>13775</v>
      </c>
      <c r="K5">
        <v>2491</v>
      </c>
      <c r="L5">
        <v>19</v>
      </c>
    </row>
    <row r="6" spans="1:14" x14ac:dyDescent="0.35">
      <c r="A6" s="1">
        <v>46047</v>
      </c>
      <c r="B6">
        <v>1</v>
      </c>
      <c r="C6" t="s">
        <v>17</v>
      </c>
      <c r="D6" t="s">
        <v>13</v>
      </c>
      <c r="E6">
        <v>451</v>
      </c>
      <c r="F6">
        <v>449</v>
      </c>
      <c r="G6">
        <v>361</v>
      </c>
      <c r="H6">
        <v>86208</v>
      </c>
      <c r="I6">
        <v>62673</v>
      </c>
      <c r="J6">
        <v>9138</v>
      </c>
      <c r="K6">
        <v>1840.9</v>
      </c>
      <c r="L6">
        <v>21</v>
      </c>
    </row>
    <row r="7" spans="1:14" x14ac:dyDescent="0.35">
      <c r="A7" s="1">
        <v>46047</v>
      </c>
      <c r="B7">
        <v>1</v>
      </c>
      <c r="C7" t="s">
        <v>17</v>
      </c>
      <c r="D7" t="s">
        <v>14</v>
      </c>
      <c r="E7">
        <v>416</v>
      </c>
      <c r="F7">
        <v>376</v>
      </c>
      <c r="G7">
        <v>314</v>
      </c>
      <c r="H7">
        <v>75200</v>
      </c>
      <c r="I7">
        <v>49106</v>
      </c>
      <c r="J7">
        <v>9701</v>
      </c>
      <c r="K7">
        <v>1767.2</v>
      </c>
      <c r="L7">
        <v>16</v>
      </c>
    </row>
    <row r="8" spans="1:14" x14ac:dyDescent="0.35">
      <c r="A8" s="1">
        <v>46047</v>
      </c>
      <c r="B8">
        <v>1</v>
      </c>
      <c r="C8" t="s">
        <v>17</v>
      </c>
      <c r="D8" t="s">
        <v>15</v>
      </c>
      <c r="E8">
        <v>391</v>
      </c>
      <c r="F8">
        <v>328</v>
      </c>
      <c r="G8">
        <v>311</v>
      </c>
      <c r="H8">
        <v>62320</v>
      </c>
      <c r="I8">
        <v>40321</v>
      </c>
      <c r="J8">
        <v>9784</v>
      </c>
      <c r="K8">
        <v>1508.8</v>
      </c>
      <c r="L8">
        <v>12</v>
      </c>
    </row>
    <row r="9" spans="1:14" x14ac:dyDescent="0.35">
      <c r="A9" s="1">
        <v>46047</v>
      </c>
      <c r="B9">
        <v>1</v>
      </c>
      <c r="C9" t="s">
        <v>17</v>
      </c>
      <c r="D9" t="s">
        <v>16</v>
      </c>
      <c r="E9">
        <v>444</v>
      </c>
      <c r="F9">
        <v>430</v>
      </c>
      <c r="G9">
        <v>349</v>
      </c>
      <c r="H9">
        <v>86860</v>
      </c>
      <c r="I9">
        <v>60802</v>
      </c>
      <c r="J9">
        <v>12942</v>
      </c>
      <c r="K9">
        <v>2107</v>
      </c>
      <c r="L9">
        <v>22</v>
      </c>
    </row>
    <row r="10" spans="1:14" x14ac:dyDescent="0.35">
      <c r="A10" s="1">
        <v>46047</v>
      </c>
      <c r="B10">
        <v>1</v>
      </c>
      <c r="C10" t="s">
        <v>18</v>
      </c>
      <c r="D10" t="s">
        <v>13</v>
      </c>
      <c r="E10">
        <v>461</v>
      </c>
      <c r="F10">
        <v>477</v>
      </c>
      <c r="G10">
        <v>422</v>
      </c>
      <c r="H10">
        <v>100647</v>
      </c>
      <c r="I10">
        <v>65622</v>
      </c>
      <c r="J10">
        <v>10769</v>
      </c>
      <c r="K10">
        <v>2003.4</v>
      </c>
      <c r="L10">
        <v>23</v>
      </c>
    </row>
    <row r="11" spans="1:14" x14ac:dyDescent="0.35">
      <c r="A11" s="1">
        <v>46047</v>
      </c>
      <c r="B11">
        <v>1</v>
      </c>
      <c r="C11" t="s">
        <v>18</v>
      </c>
      <c r="D11" t="s">
        <v>14</v>
      </c>
      <c r="E11">
        <v>383</v>
      </c>
      <c r="F11">
        <v>388</v>
      </c>
      <c r="G11">
        <v>359</v>
      </c>
      <c r="H11">
        <v>79152</v>
      </c>
      <c r="I11">
        <v>56356</v>
      </c>
      <c r="J11">
        <v>8390</v>
      </c>
      <c r="K11">
        <v>1629.6</v>
      </c>
      <c r="L11">
        <v>21</v>
      </c>
    </row>
    <row r="12" spans="1:14" x14ac:dyDescent="0.35">
      <c r="A12" s="1">
        <v>46047</v>
      </c>
      <c r="B12">
        <v>1</v>
      </c>
      <c r="C12" t="s">
        <v>18</v>
      </c>
      <c r="D12" t="s">
        <v>15</v>
      </c>
      <c r="E12">
        <v>458</v>
      </c>
      <c r="F12">
        <v>395</v>
      </c>
      <c r="G12">
        <v>321</v>
      </c>
      <c r="H12">
        <v>84530</v>
      </c>
      <c r="I12">
        <v>58664</v>
      </c>
      <c r="J12">
        <v>12764</v>
      </c>
      <c r="K12">
        <v>1698.5</v>
      </c>
      <c r="L12">
        <v>16</v>
      </c>
    </row>
    <row r="13" spans="1:14" x14ac:dyDescent="0.35">
      <c r="A13" s="1">
        <v>46047</v>
      </c>
      <c r="B13">
        <v>1</v>
      </c>
      <c r="C13" t="s">
        <v>18</v>
      </c>
      <c r="D13" t="s">
        <v>16</v>
      </c>
      <c r="E13">
        <v>447</v>
      </c>
      <c r="F13">
        <v>395</v>
      </c>
      <c r="G13">
        <v>334</v>
      </c>
      <c r="H13">
        <v>90455</v>
      </c>
      <c r="I13">
        <v>62143</v>
      </c>
      <c r="J13">
        <v>14111</v>
      </c>
      <c r="K13">
        <v>1935.5</v>
      </c>
      <c r="L13">
        <v>21</v>
      </c>
    </row>
    <row r="14" spans="1:14" x14ac:dyDescent="0.35">
      <c r="A14" s="1">
        <v>46078</v>
      </c>
      <c r="B14">
        <v>2</v>
      </c>
      <c r="C14" t="s">
        <v>12</v>
      </c>
      <c r="D14" t="s">
        <v>13</v>
      </c>
      <c r="E14">
        <v>529</v>
      </c>
      <c r="F14">
        <v>543</v>
      </c>
      <c r="G14">
        <v>453</v>
      </c>
      <c r="H14">
        <v>112401</v>
      </c>
      <c r="I14">
        <v>74522</v>
      </c>
      <c r="J14">
        <v>14725</v>
      </c>
      <c r="K14">
        <v>2628.1</v>
      </c>
      <c r="L14">
        <v>28</v>
      </c>
    </row>
    <row r="15" spans="1:14" x14ac:dyDescent="0.35">
      <c r="A15" s="1">
        <v>46078</v>
      </c>
      <c r="B15">
        <v>2</v>
      </c>
      <c r="C15" t="s">
        <v>12</v>
      </c>
      <c r="D15" t="s">
        <v>14</v>
      </c>
      <c r="E15">
        <v>535</v>
      </c>
      <c r="F15">
        <v>491</v>
      </c>
      <c r="G15">
        <v>426</v>
      </c>
      <c r="H15">
        <v>94763</v>
      </c>
      <c r="I15">
        <v>65576</v>
      </c>
      <c r="J15">
        <v>14404</v>
      </c>
      <c r="K15">
        <v>2376.4</v>
      </c>
      <c r="L15">
        <v>22</v>
      </c>
    </row>
    <row r="16" spans="1:14" x14ac:dyDescent="0.35">
      <c r="A16" s="1">
        <v>46078</v>
      </c>
      <c r="B16">
        <v>2</v>
      </c>
      <c r="C16" t="s">
        <v>12</v>
      </c>
      <c r="D16" t="s">
        <v>15</v>
      </c>
      <c r="E16">
        <v>483</v>
      </c>
      <c r="F16">
        <v>411</v>
      </c>
      <c r="G16">
        <v>358</v>
      </c>
      <c r="H16">
        <v>82200</v>
      </c>
      <c r="I16">
        <v>59348</v>
      </c>
      <c r="J16">
        <v>10357</v>
      </c>
      <c r="K16">
        <v>2030.3</v>
      </c>
      <c r="L16">
        <v>20</v>
      </c>
    </row>
    <row r="17" spans="1:12" x14ac:dyDescent="0.35">
      <c r="A17" s="1">
        <v>46078</v>
      </c>
      <c r="B17">
        <v>2</v>
      </c>
      <c r="C17" t="s">
        <v>12</v>
      </c>
      <c r="D17" t="s">
        <v>16</v>
      </c>
      <c r="E17">
        <v>515</v>
      </c>
      <c r="F17">
        <v>469</v>
      </c>
      <c r="G17">
        <v>419</v>
      </c>
      <c r="H17">
        <v>106463</v>
      </c>
      <c r="I17">
        <v>75163</v>
      </c>
      <c r="J17">
        <v>15331</v>
      </c>
      <c r="K17">
        <v>2223.1</v>
      </c>
      <c r="L17">
        <v>20</v>
      </c>
    </row>
    <row r="18" spans="1:12" x14ac:dyDescent="0.35">
      <c r="A18" s="1">
        <v>46078</v>
      </c>
      <c r="B18">
        <v>2</v>
      </c>
      <c r="C18" t="s">
        <v>17</v>
      </c>
      <c r="D18" t="s">
        <v>13</v>
      </c>
      <c r="E18">
        <v>402</v>
      </c>
      <c r="F18">
        <v>370</v>
      </c>
      <c r="G18">
        <v>325</v>
      </c>
      <c r="H18">
        <v>87320</v>
      </c>
      <c r="I18">
        <v>60600</v>
      </c>
      <c r="J18">
        <v>8907</v>
      </c>
      <c r="K18">
        <v>1753.8</v>
      </c>
      <c r="L18">
        <v>17</v>
      </c>
    </row>
    <row r="19" spans="1:12" x14ac:dyDescent="0.35">
      <c r="A19" s="1">
        <v>46078</v>
      </c>
      <c r="B19">
        <v>2</v>
      </c>
      <c r="C19" t="s">
        <v>17</v>
      </c>
      <c r="D19" t="s">
        <v>14</v>
      </c>
      <c r="E19">
        <v>446</v>
      </c>
      <c r="F19">
        <v>395</v>
      </c>
      <c r="G19">
        <v>329</v>
      </c>
      <c r="H19">
        <v>90060</v>
      </c>
      <c r="I19">
        <v>65023</v>
      </c>
      <c r="J19">
        <v>10267</v>
      </c>
      <c r="K19">
        <v>1714.3</v>
      </c>
      <c r="L19">
        <v>17</v>
      </c>
    </row>
    <row r="20" spans="1:12" x14ac:dyDescent="0.35">
      <c r="A20" s="1">
        <v>46078</v>
      </c>
      <c r="B20">
        <v>2</v>
      </c>
      <c r="C20" t="s">
        <v>17</v>
      </c>
      <c r="D20" t="s">
        <v>15</v>
      </c>
      <c r="E20">
        <v>478</v>
      </c>
      <c r="F20">
        <v>454</v>
      </c>
      <c r="G20">
        <v>381</v>
      </c>
      <c r="H20">
        <v>88984</v>
      </c>
      <c r="I20">
        <v>62378</v>
      </c>
      <c r="J20">
        <v>12369</v>
      </c>
      <c r="K20">
        <v>1925</v>
      </c>
      <c r="L20">
        <v>22</v>
      </c>
    </row>
    <row r="21" spans="1:12" x14ac:dyDescent="0.35">
      <c r="A21" s="1">
        <v>46078</v>
      </c>
      <c r="B21">
        <v>2</v>
      </c>
      <c r="C21" t="s">
        <v>17</v>
      </c>
      <c r="D21" t="s">
        <v>16</v>
      </c>
      <c r="E21">
        <v>494</v>
      </c>
      <c r="F21">
        <v>416</v>
      </c>
      <c r="G21">
        <v>353</v>
      </c>
      <c r="H21">
        <v>88192</v>
      </c>
      <c r="I21">
        <v>57501</v>
      </c>
      <c r="J21">
        <v>11641</v>
      </c>
      <c r="K21">
        <v>1722.2</v>
      </c>
      <c r="L21">
        <v>20</v>
      </c>
    </row>
    <row r="22" spans="1:12" x14ac:dyDescent="0.35">
      <c r="A22" s="1">
        <v>46078</v>
      </c>
      <c r="B22">
        <v>2</v>
      </c>
      <c r="C22" t="s">
        <v>18</v>
      </c>
      <c r="D22" t="s">
        <v>13</v>
      </c>
      <c r="E22">
        <v>459</v>
      </c>
      <c r="F22">
        <v>387</v>
      </c>
      <c r="G22">
        <v>329</v>
      </c>
      <c r="H22">
        <v>89784</v>
      </c>
      <c r="I22">
        <v>65363</v>
      </c>
      <c r="J22">
        <v>12570</v>
      </c>
      <c r="K22">
        <v>1602.2</v>
      </c>
      <c r="L22">
        <v>20</v>
      </c>
    </row>
    <row r="23" spans="1:12" x14ac:dyDescent="0.35">
      <c r="A23" s="1">
        <v>46078</v>
      </c>
      <c r="B23">
        <v>2</v>
      </c>
      <c r="C23" t="s">
        <v>18</v>
      </c>
      <c r="D23" t="s">
        <v>14</v>
      </c>
      <c r="E23">
        <v>417</v>
      </c>
      <c r="F23">
        <v>355</v>
      </c>
      <c r="G23">
        <v>331</v>
      </c>
      <c r="H23">
        <v>77745</v>
      </c>
      <c r="I23">
        <v>53566</v>
      </c>
      <c r="J23">
        <v>10107</v>
      </c>
      <c r="K23">
        <v>1398.7</v>
      </c>
      <c r="L23">
        <v>13</v>
      </c>
    </row>
    <row r="24" spans="1:12" x14ac:dyDescent="0.35">
      <c r="A24" s="1">
        <v>46078</v>
      </c>
      <c r="B24">
        <v>2</v>
      </c>
      <c r="C24" t="s">
        <v>18</v>
      </c>
      <c r="D24" t="s">
        <v>15</v>
      </c>
      <c r="E24">
        <v>447</v>
      </c>
      <c r="F24">
        <v>441</v>
      </c>
      <c r="G24">
        <v>374</v>
      </c>
      <c r="H24">
        <v>100107</v>
      </c>
      <c r="I24">
        <v>65770</v>
      </c>
      <c r="J24">
        <v>12013</v>
      </c>
      <c r="K24">
        <v>1781.6</v>
      </c>
      <c r="L24">
        <v>18</v>
      </c>
    </row>
    <row r="25" spans="1:12" x14ac:dyDescent="0.35">
      <c r="A25" s="1">
        <v>46078</v>
      </c>
      <c r="B25">
        <v>2</v>
      </c>
      <c r="C25" t="s">
        <v>18</v>
      </c>
      <c r="D25" t="s">
        <v>16</v>
      </c>
      <c r="E25">
        <v>447</v>
      </c>
      <c r="F25">
        <v>445</v>
      </c>
      <c r="G25">
        <v>373</v>
      </c>
      <c r="H25">
        <v>94340</v>
      </c>
      <c r="I25">
        <v>60566</v>
      </c>
      <c r="J25">
        <v>11132</v>
      </c>
      <c r="K25">
        <v>1886.8</v>
      </c>
      <c r="L25">
        <v>19</v>
      </c>
    </row>
    <row r="26" spans="1:12" x14ac:dyDescent="0.35">
      <c r="A26" s="1">
        <v>46106</v>
      </c>
      <c r="B26">
        <v>3</v>
      </c>
      <c r="C26" t="s">
        <v>12</v>
      </c>
      <c r="D26" t="s">
        <v>13</v>
      </c>
      <c r="E26">
        <v>550</v>
      </c>
      <c r="F26">
        <v>535</v>
      </c>
      <c r="G26">
        <v>478</v>
      </c>
      <c r="H26">
        <v>120375</v>
      </c>
      <c r="I26">
        <v>79809</v>
      </c>
      <c r="J26">
        <v>18417</v>
      </c>
      <c r="K26">
        <v>2610.8000000000002</v>
      </c>
      <c r="L26">
        <v>19</v>
      </c>
    </row>
    <row r="27" spans="1:12" x14ac:dyDescent="0.35">
      <c r="A27" s="1">
        <v>46106</v>
      </c>
      <c r="B27">
        <v>3</v>
      </c>
      <c r="C27" t="s">
        <v>12</v>
      </c>
      <c r="D27" t="s">
        <v>14</v>
      </c>
      <c r="E27">
        <v>498</v>
      </c>
      <c r="F27">
        <v>425</v>
      </c>
      <c r="G27">
        <v>368</v>
      </c>
      <c r="H27">
        <v>89675</v>
      </c>
      <c r="I27">
        <v>60351</v>
      </c>
      <c r="J27">
        <v>11837</v>
      </c>
      <c r="K27">
        <v>1776.5</v>
      </c>
      <c r="L27">
        <v>18</v>
      </c>
    </row>
    <row r="28" spans="1:12" x14ac:dyDescent="0.35">
      <c r="A28" s="1">
        <v>46106</v>
      </c>
      <c r="B28">
        <v>3</v>
      </c>
      <c r="C28" t="s">
        <v>12</v>
      </c>
      <c r="D28" t="s">
        <v>15</v>
      </c>
      <c r="E28">
        <v>524</v>
      </c>
      <c r="F28">
        <v>515</v>
      </c>
      <c r="G28">
        <v>480</v>
      </c>
      <c r="H28">
        <v>118965</v>
      </c>
      <c r="I28">
        <v>76138</v>
      </c>
      <c r="J28">
        <v>12372</v>
      </c>
      <c r="K28">
        <v>1998.2</v>
      </c>
      <c r="L28">
        <v>18</v>
      </c>
    </row>
    <row r="29" spans="1:12" x14ac:dyDescent="0.35">
      <c r="A29" s="1">
        <v>46106</v>
      </c>
      <c r="B29">
        <v>3</v>
      </c>
      <c r="C29" t="s">
        <v>12</v>
      </c>
      <c r="D29" t="s">
        <v>16</v>
      </c>
      <c r="E29">
        <v>549</v>
      </c>
      <c r="F29">
        <v>464</v>
      </c>
      <c r="G29">
        <v>395</v>
      </c>
      <c r="H29">
        <v>94656</v>
      </c>
      <c r="I29">
        <v>64177</v>
      </c>
      <c r="J29">
        <v>12211</v>
      </c>
      <c r="K29">
        <v>2310.6999999999998</v>
      </c>
      <c r="L29">
        <v>22</v>
      </c>
    </row>
    <row r="30" spans="1:12" x14ac:dyDescent="0.35">
      <c r="A30" s="1">
        <v>46106</v>
      </c>
      <c r="B30">
        <v>3</v>
      </c>
      <c r="C30" t="s">
        <v>17</v>
      </c>
      <c r="D30" t="s">
        <v>13</v>
      </c>
      <c r="E30">
        <v>444</v>
      </c>
      <c r="F30">
        <v>396</v>
      </c>
      <c r="G30">
        <v>375</v>
      </c>
      <c r="H30">
        <v>94248</v>
      </c>
      <c r="I30">
        <v>62958</v>
      </c>
      <c r="J30">
        <v>13949</v>
      </c>
      <c r="K30">
        <v>1853.3</v>
      </c>
      <c r="L30">
        <v>20</v>
      </c>
    </row>
    <row r="31" spans="1:12" x14ac:dyDescent="0.35">
      <c r="A31" s="1">
        <v>46106</v>
      </c>
      <c r="B31">
        <v>3</v>
      </c>
      <c r="C31" t="s">
        <v>17</v>
      </c>
      <c r="D31" t="s">
        <v>14</v>
      </c>
      <c r="E31">
        <v>404</v>
      </c>
      <c r="F31">
        <v>368</v>
      </c>
      <c r="G31">
        <v>351</v>
      </c>
      <c r="H31">
        <v>75072</v>
      </c>
      <c r="I31">
        <v>51574</v>
      </c>
      <c r="J31">
        <v>9309</v>
      </c>
      <c r="K31">
        <v>1575</v>
      </c>
      <c r="L31">
        <v>19</v>
      </c>
    </row>
    <row r="32" spans="1:12" x14ac:dyDescent="0.35">
      <c r="A32" s="1">
        <v>46106</v>
      </c>
      <c r="B32">
        <v>3</v>
      </c>
      <c r="C32" t="s">
        <v>17</v>
      </c>
      <c r="D32" t="s">
        <v>15</v>
      </c>
      <c r="E32">
        <v>441</v>
      </c>
      <c r="F32">
        <v>431</v>
      </c>
      <c r="G32">
        <v>367</v>
      </c>
      <c r="H32">
        <v>91372</v>
      </c>
      <c r="I32">
        <v>60945</v>
      </c>
      <c r="J32">
        <v>10965</v>
      </c>
      <c r="K32">
        <v>1930.9</v>
      </c>
      <c r="L32">
        <v>21</v>
      </c>
    </row>
    <row r="33" spans="1:12" x14ac:dyDescent="0.35">
      <c r="A33" s="1">
        <v>46106</v>
      </c>
      <c r="B33">
        <v>3</v>
      </c>
      <c r="C33" t="s">
        <v>17</v>
      </c>
      <c r="D33" t="s">
        <v>16</v>
      </c>
      <c r="E33">
        <v>476</v>
      </c>
      <c r="F33">
        <v>425</v>
      </c>
      <c r="G33">
        <v>343</v>
      </c>
      <c r="H33">
        <v>93075</v>
      </c>
      <c r="I33">
        <v>65711</v>
      </c>
      <c r="J33">
        <v>13124</v>
      </c>
      <c r="K33">
        <v>1734</v>
      </c>
      <c r="L33">
        <v>16</v>
      </c>
    </row>
    <row r="34" spans="1:12" x14ac:dyDescent="0.35">
      <c r="A34" s="1">
        <v>46106</v>
      </c>
      <c r="B34">
        <v>3</v>
      </c>
      <c r="C34" t="s">
        <v>18</v>
      </c>
      <c r="D34" t="s">
        <v>13</v>
      </c>
      <c r="E34">
        <v>409</v>
      </c>
      <c r="F34">
        <v>396</v>
      </c>
      <c r="G34">
        <v>340</v>
      </c>
      <c r="H34">
        <v>87516</v>
      </c>
      <c r="I34">
        <v>59073</v>
      </c>
      <c r="J34">
        <v>13828</v>
      </c>
      <c r="K34">
        <v>1972.1</v>
      </c>
      <c r="L34">
        <v>20</v>
      </c>
    </row>
    <row r="35" spans="1:12" x14ac:dyDescent="0.35">
      <c r="A35" s="1">
        <v>46106</v>
      </c>
      <c r="B35">
        <v>3</v>
      </c>
      <c r="C35" t="s">
        <v>18</v>
      </c>
      <c r="D35" t="s">
        <v>14</v>
      </c>
      <c r="E35">
        <v>421</v>
      </c>
      <c r="F35">
        <v>404</v>
      </c>
      <c r="G35">
        <v>356</v>
      </c>
      <c r="H35">
        <v>96152</v>
      </c>
      <c r="I35">
        <v>61537</v>
      </c>
      <c r="J35">
        <v>14519</v>
      </c>
      <c r="K35">
        <v>1567.5</v>
      </c>
      <c r="L35">
        <v>14</v>
      </c>
    </row>
    <row r="36" spans="1:12" x14ac:dyDescent="0.35">
      <c r="A36" s="1">
        <v>46106</v>
      </c>
      <c r="B36">
        <v>3</v>
      </c>
      <c r="C36" t="s">
        <v>18</v>
      </c>
      <c r="D36" t="s">
        <v>15</v>
      </c>
      <c r="E36">
        <v>405</v>
      </c>
      <c r="F36">
        <v>343</v>
      </c>
      <c r="G36">
        <v>310</v>
      </c>
      <c r="H36">
        <v>79233</v>
      </c>
      <c r="I36">
        <v>54116</v>
      </c>
      <c r="J36">
        <v>11093</v>
      </c>
      <c r="K36">
        <v>1365.1</v>
      </c>
      <c r="L36">
        <v>13</v>
      </c>
    </row>
    <row r="37" spans="1:12" x14ac:dyDescent="0.35">
      <c r="A37" s="1">
        <v>46106</v>
      </c>
      <c r="B37">
        <v>3</v>
      </c>
      <c r="C37" t="s">
        <v>18</v>
      </c>
      <c r="D37" t="s">
        <v>16</v>
      </c>
      <c r="E37">
        <v>467</v>
      </c>
      <c r="F37">
        <v>425</v>
      </c>
      <c r="G37">
        <v>371</v>
      </c>
      <c r="H37">
        <v>101150</v>
      </c>
      <c r="I37">
        <v>64635</v>
      </c>
      <c r="J37">
        <v>10924</v>
      </c>
      <c r="K37">
        <v>2031.5</v>
      </c>
      <c r="L37">
        <v>14</v>
      </c>
    </row>
    <row r="38" spans="1:12" x14ac:dyDescent="0.35">
      <c r="A38" s="1">
        <v>46137</v>
      </c>
      <c r="B38">
        <v>4</v>
      </c>
      <c r="C38" t="s">
        <v>12</v>
      </c>
      <c r="D38" t="s">
        <v>13</v>
      </c>
      <c r="E38">
        <v>523</v>
      </c>
      <c r="F38">
        <v>449</v>
      </c>
      <c r="G38">
        <v>391</v>
      </c>
      <c r="H38">
        <v>85310</v>
      </c>
      <c r="I38">
        <v>55963</v>
      </c>
      <c r="J38">
        <v>9725</v>
      </c>
      <c r="K38">
        <v>1894.8</v>
      </c>
      <c r="L38">
        <v>17</v>
      </c>
    </row>
    <row r="39" spans="1:12" x14ac:dyDescent="0.35">
      <c r="A39" s="1">
        <v>46137</v>
      </c>
      <c r="B39">
        <v>4</v>
      </c>
      <c r="C39" t="s">
        <v>12</v>
      </c>
      <c r="D39" t="s">
        <v>14</v>
      </c>
      <c r="E39">
        <v>551</v>
      </c>
      <c r="F39">
        <v>475</v>
      </c>
      <c r="G39">
        <v>449</v>
      </c>
      <c r="H39">
        <v>108775</v>
      </c>
      <c r="I39">
        <v>76251</v>
      </c>
      <c r="J39">
        <v>12727</v>
      </c>
      <c r="K39">
        <v>2337</v>
      </c>
      <c r="L39">
        <v>18</v>
      </c>
    </row>
    <row r="40" spans="1:12" x14ac:dyDescent="0.35">
      <c r="A40" s="1">
        <v>46137</v>
      </c>
      <c r="B40">
        <v>4</v>
      </c>
      <c r="C40" t="s">
        <v>12</v>
      </c>
      <c r="D40" t="s">
        <v>15</v>
      </c>
      <c r="E40">
        <v>509</v>
      </c>
      <c r="F40">
        <v>454</v>
      </c>
      <c r="G40">
        <v>396</v>
      </c>
      <c r="H40">
        <v>86260</v>
      </c>
      <c r="I40">
        <v>60296</v>
      </c>
      <c r="J40">
        <v>12335</v>
      </c>
      <c r="K40">
        <v>2052.1</v>
      </c>
      <c r="L40">
        <v>22</v>
      </c>
    </row>
    <row r="41" spans="1:12" x14ac:dyDescent="0.35">
      <c r="A41" s="1">
        <v>46137</v>
      </c>
      <c r="B41">
        <v>4</v>
      </c>
      <c r="C41" t="s">
        <v>12</v>
      </c>
      <c r="D41" t="s">
        <v>16</v>
      </c>
      <c r="E41">
        <v>539</v>
      </c>
      <c r="F41">
        <v>534</v>
      </c>
      <c r="G41">
        <v>494</v>
      </c>
      <c r="H41">
        <v>115878</v>
      </c>
      <c r="I41">
        <v>81694</v>
      </c>
      <c r="J41">
        <v>12399</v>
      </c>
      <c r="K41">
        <v>2413.6999999999998</v>
      </c>
      <c r="L41">
        <v>18</v>
      </c>
    </row>
    <row r="42" spans="1:12" x14ac:dyDescent="0.35">
      <c r="A42" s="1">
        <v>46137</v>
      </c>
      <c r="B42">
        <v>4</v>
      </c>
      <c r="C42" t="s">
        <v>17</v>
      </c>
      <c r="D42" t="s">
        <v>13</v>
      </c>
      <c r="E42">
        <v>438</v>
      </c>
      <c r="F42">
        <v>406</v>
      </c>
      <c r="G42">
        <v>374</v>
      </c>
      <c r="H42">
        <v>89320</v>
      </c>
      <c r="I42">
        <v>63774</v>
      </c>
      <c r="J42">
        <v>9825</v>
      </c>
      <c r="K42">
        <v>1875.7</v>
      </c>
      <c r="L42">
        <v>14</v>
      </c>
    </row>
    <row r="43" spans="1:12" x14ac:dyDescent="0.35">
      <c r="A43" s="1">
        <v>46137</v>
      </c>
      <c r="B43">
        <v>4</v>
      </c>
      <c r="C43" t="s">
        <v>17</v>
      </c>
      <c r="D43" t="s">
        <v>14</v>
      </c>
      <c r="E43">
        <v>464</v>
      </c>
      <c r="F43">
        <v>451</v>
      </c>
      <c r="G43">
        <v>365</v>
      </c>
      <c r="H43">
        <v>100122</v>
      </c>
      <c r="I43">
        <v>63878</v>
      </c>
      <c r="J43">
        <v>13416</v>
      </c>
      <c r="K43">
        <v>1767.9</v>
      </c>
      <c r="L43">
        <v>16</v>
      </c>
    </row>
    <row r="44" spans="1:12" x14ac:dyDescent="0.35">
      <c r="A44" s="1">
        <v>46137</v>
      </c>
      <c r="B44">
        <v>4</v>
      </c>
      <c r="C44" t="s">
        <v>17</v>
      </c>
      <c r="D44" t="s">
        <v>15</v>
      </c>
      <c r="E44">
        <v>478</v>
      </c>
      <c r="F44">
        <v>470</v>
      </c>
      <c r="G44">
        <v>429</v>
      </c>
      <c r="H44">
        <v>89300</v>
      </c>
      <c r="I44">
        <v>64207</v>
      </c>
      <c r="J44">
        <v>12145</v>
      </c>
      <c r="K44">
        <v>2312.4</v>
      </c>
      <c r="L44">
        <v>24</v>
      </c>
    </row>
    <row r="45" spans="1:12" x14ac:dyDescent="0.35">
      <c r="A45" s="1">
        <v>46137</v>
      </c>
      <c r="B45">
        <v>4</v>
      </c>
      <c r="C45" t="s">
        <v>17</v>
      </c>
      <c r="D45" t="s">
        <v>16</v>
      </c>
      <c r="E45">
        <v>528</v>
      </c>
      <c r="F45">
        <v>535</v>
      </c>
      <c r="G45">
        <v>476</v>
      </c>
      <c r="H45">
        <v>123050</v>
      </c>
      <c r="I45">
        <v>80598</v>
      </c>
      <c r="J45">
        <v>19073</v>
      </c>
      <c r="K45">
        <v>2364.6999999999998</v>
      </c>
      <c r="L45">
        <v>24</v>
      </c>
    </row>
    <row r="46" spans="1:12" x14ac:dyDescent="0.35">
      <c r="A46" s="1">
        <v>46137</v>
      </c>
      <c r="B46">
        <v>4</v>
      </c>
      <c r="C46" t="s">
        <v>18</v>
      </c>
      <c r="D46" t="s">
        <v>13</v>
      </c>
      <c r="E46">
        <v>474</v>
      </c>
      <c r="F46">
        <v>486</v>
      </c>
      <c r="G46">
        <v>404</v>
      </c>
      <c r="H46">
        <v>96228</v>
      </c>
      <c r="I46">
        <v>62548</v>
      </c>
      <c r="J46">
        <v>12798</v>
      </c>
      <c r="K46">
        <v>2196.6999999999998</v>
      </c>
      <c r="L46">
        <v>20</v>
      </c>
    </row>
    <row r="47" spans="1:12" x14ac:dyDescent="0.35">
      <c r="A47" s="1">
        <v>46137</v>
      </c>
      <c r="B47">
        <v>4</v>
      </c>
      <c r="C47" t="s">
        <v>18</v>
      </c>
      <c r="D47" t="s">
        <v>14</v>
      </c>
      <c r="E47">
        <v>412</v>
      </c>
      <c r="F47">
        <v>386</v>
      </c>
      <c r="G47">
        <v>329</v>
      </c>
      <c r="H47">
        <v>86850</v>
      </c>
      <c r="I47">
        <v>61577</v>
      </c>
      <c r="J47">
        <v>13288</v>
      </c>
      <c r="K47">
        <v>1783.3</v>
      </c>
      <c r="L47">
        <v>13</v>
      </c>
    </row>
    <row r="48" spans="1:12" x14ac:dyDescent="0.35">
      <c r="A48" s="1">
        <v>46137</v>
      </c>
      <c r="B48">
        <v>4</v>
      </c>
      <c r="C48" t="s">
        <v>18</v>
      </c>
      <c r="D48" t="s">
        <v>15</v>
      </c>
      <c r="E48">
        <v>481</v>
      </c>
      <c r="F48">
        <v>482</v>
      </c>
      <c r="G48">
        <v>457</v>
      </c>
      <c r="H48">
        <v>107004</v>
      </c>
      <c r="I48">
        <v>73619</v>
      </c>
      <c r="J48">
        <v>11770</v>
      </c>
      <c r="K48">
        <v>2082.1999999999998</v>
      </c>
      <c r="L48">
        <v>24</v>
      </c>
    </row>
    <row r="49" spans="1:12" x14ac:dyDescent="0.35">
      <c r="A49" s="1">
        <v>46137</v>
      </c>
      <c r="B49">
        <v>4</v>
      </c>
      <c r="C49" t="s">
        <v>18</v>
      </c>
      <c r="D49" t="s">
        <v>16</v>
      </c>
      <c r="E49">
        <v>518</v>
      </c>
      <c r="F49">
        <v>483</v>
      </c>
      <c r="G49">
        <v>453</v>
      </c>
      <c r="H49">
        <v>108675</v>
      </c>
      <c r="I49">
        <v>72704</v>
      </c>
      <c r="J49">
        <v>11628</v>
      </c>
      <c r="K49">
        <v>2086.6</v>
      </c>
      <c r="L49">
        <v>23</v>
      </c>
    </row>
    <row r="50" spans="1:12" x14ac:dyDescent="0.35">
      <c r="A50" s="1">
        <v>46167</v>
      </c>
      <c r="B50">
        <v>5</v>
      </c>
      <c r="C50" t="s">
        <v>12</v>
      </c>
      <c r="D50" t="s">
        <v>13</v>
      </c>
      <c r="E50">
        <v>527</v>
      </c>
      <c r="F50">
        <v>475</v>
      </c>
      <c r="G50">
        <v>401</v>
      </c>
      <c r="H50">
        <v>99275</v>
      </c>
      <c r="I50">
        <v>68996</v>
      </c>
      <c r="J50">
        <v>12906</v>
      </c>
      <c r="K50">
        <v>2166</v>
      </c>
      <c r="L50">
        <v>19</v>
      </c>
    </row>
    <row r="51" spans="1:12" x14ac:dyDescent="0.35">
      <c r="A51" s="1">
        <v>46167</v>
      </c>
      <c r="B51">
        <v>5</v>
      </c>
      <c r="C51" t="s">
        <v>12</v>
      </c>
      <c r="D51" t="s">
        <v>14</v>
      </c>
      <c r="E51">
        <v>536</v>
      </c>
      <c r="F51">
        <v>519</v>
      </c>
      <c r="G51">
        <v>434</v>
      </c>
      <c r="H51">
        <v>106395</v>
      </c>
      <c r="I51">
        <v>72136</v>
      </c>
      <c r="J51">
        <v>11597</v>
      </c>
      <c r="K51">
        <v>2003.3</v>
      </c>
      <c r="L51">
        <v>16</v>
      </c>
    </row>
    <row r="52" spans="1:12" x14ac:dyDescent="0.35">
      <c r="A52" s="1">
        <v>46167</v>
      </c>
      <c r="B52">
        <v>5</v>
      </c>
      <c r="C52" t="s">
        <v>12</v>
      </c>
      <c r="D52" t="s">
        <v>15</v>
      </c>
      <c r="E52">
        <v>546</v>
      </c>
      <c r="F52">
        <v>536</v>
      </c>
      <c r="G52">
        <v>493</v>
      </c>
      <c r="H52">
        <v>120064</v>
      </c>
      <c r="I52">
        <v>80803</v>
      </c>
      <c r="J52">
        <v>12727</v>
      </c>
      <c r="K52">
        <v>2176.1999999999998</v>
      </c>
      <c r="L52">
        <v>20</v>
      </c>
    </row>
    <row r="53" spans="1:12" x14ac:dyDescent="0.35">
      <c r="A53" s="1">
        <v>46167</v>
      </c>
      <c r="B53">
        <v>5</v>
      </c>
      <c r="C53" t="s">
        <v>12</v>
      </c>
      <c r="D53" t="s">
        <v>16</v>
      </c>
      <c r="E53">
        <v>542</v>
      </c>
      <c r="F53">
        <v>503</v>
      </c>
      <c r="G53">
        <v>461</v>
      </c>
      <c r="H53">
        <v>97582</v>
      </c>
      <c r="I53">
        <v>63233</v>
      </c>
      <c r="J53">
        <v>10539</v>
      </c>
      <c r="K53">
        <v>2394.3000000000002</v>
      </c>
      <c r="L53">
        <v>20</v>
      </c>
    </row>
    <row r="54" spans="1:12" x14ac:dyDescent="0.35">
      <c r="A54" s="1">
        <v>46167</v>
      </c>
      <c r="B54">
        <v>5</v>
      </c>
      <c r="C54" t="s">
        <v>17</v>
      </c>
      <c r="D54" t="s">
        <v>13</v>
      </c>
      <c r="E54">
        <v>478</v>
      </c>
      <c r="F54">
        <v>420</v>
      </c>
      <c r="G54">
        <v>401</v>
      </c>
      <c r="H54">
        <v>94920</v>
      </c>
      <c r="I54">
        <v>65590</v>
      </c>
      <c r="J54">
        <v>9682</v>
      </c>
      <c r="K54">
        <v>1873.2</v>
      </c>
      <c r="L54">
        <v>15</v>
      </c>
    </row>
    <row r="55" spans="1:12" x14ac:dyDescent="0.35">
      <c r="A55" s="1">
        <v>46167</v>
      </c>
      <c r="B55">
        <v>5</v>
      </c>
      <c r="C55" t="s">
        <v>17</v>
      </c>
      <c r="D55" t="s">
        <v>14</v>
      </c>
      <c r="E55">
        <v>437</v>
      </c>
      <c r="F55">
        <v>423</v>
      </c>
      <c r="G55">
        <v>357</v>
      </c>
      <c r="H55">
        <v>91368</v>
      </c>
      <c r="I55">
        <v>60942</v>
      </c>
      <c r="J55">
        <v>9137</v>
      </c>
      <c r="K55">
        <v>1590.5</v>
      </c>
      <c r="L55">
        <v>14</v>
      </c>
    </row>
    <row r="56" spans="1:12" x14ac:dyDescent="0.35">
      <c r="A56" s="1">
        <v>46167</v>
      </c>
      <c r="B56">
        <v>5</v>
      </c>
      <c r="C56" t="s">
        <v>17</v>
      </c>
      <c r="D56" t="s">
        <v>15</v>
      </c>
      <c r="E56">
        <v>442</v>
      </c>
      <c r="F56">
        <v>422</v>
      </c>
      <c r="G56">
        <v>390</v>
      </c>
      <c r="H56">
        <v>87776</v>
      </c>
      <c r="I56">
        <v>60390</v>
      </c>
      <c r="J56">
        <v>10270</v>
      </c>
      <c r="K56">
        <v>1797.7</v>
      </c>
      <c r="L56">
        <v>19</v>
      </c>
    </row>
    <row r="57" spans="1:12" x14ac:dyDescent="0.35">
      <c r="A57" s="1">
        <v>46167</v>
      </c>
      <c r="B57">
        <v>5</v>
      </c>
      <c r="C57" t="s">
        <v>17</v>
      </c>
      <c r="D57" t="s">
        <v>16</v>
      </c>
      <c r="E57">
        <v>541</v>
      </c>
      <c r="F57">
        <v>558</v>
      </c>
      <c r="G57">
        <v>492</v>
      </c>
      <c r="H57">
        <v>111042</v>
      </c>
      <c r="I57">
        <v>76286</v>
      </c>
      <c r="J57">
        <v>15657</v>
      </c>
      <c r="K57">
        <v>2377.1</v>
      </c>
      <c r="L57">
        <v>27</v>
      </c>
    </row>
    <row r="58" spans="1:12" x14ac:dyDescent="0.35">
      <c r="A58" s="1">
        <v>46167</v>
      </c>
      <c r="B58">
        <v>5</v>
      </c>
      <c r="C58" t="s">
        <v>18</v>
      </c>
      <c r="D58" t="s">
        <v>13</v>
      </c>
      <c r="E58">
        <v>455</v>
      </c>
      <c r="F58">
        <v>456</v>
      </c>
      <c r="G58">
        <v>375</v>
      </c>
      <c r="H58">
        <v>88464</v>
      </c>
      <c r="I58">
        <v>57236</v>
      </c>
      <c r="J58">
        <v>14066</v>
      </c>
      <c r="K58">
        <v>1760.2</v>
      </c>
      <c r="L58">
        <v>19</v>
      </c>
    </row>
    <row r="59" spans="1:12" x14ac:dyDescent="0.35">
      <c r="A59" s="1">
        <v>46167</v>
      </c>
      <c r="B59">
        <v>5</v>
      </c>
      <c r="C59" t="s">
        <v>18</v>
      </c>
      <c r="D59" t="s">
        <v>14</v>
      </c>
      <c r="E59">
        <v>417</v>
      </c>
      <c r="F59">
        <v>369</v>
      </c>
      <c r="G59">
        <v>344</v>
      </c>
      <c r="H59">
        <v>80811</v>
      </c>
      <c r="I59">
        <v>53254</v>
      </c>
      <c r="J59">
        <v>10182</v>
      </c>
      <c r="K59">
        <v>1571.9</v>
      </c>
      <c r="L59">
        <v>17</v>
      </c>
    </row>
    <row r="60" spans="1:12" x14ac:dyDescent="0.35">
      <c r="A60" s="1">
        <v>46167</v>
      </c>
      <c r="B60">
        <v>5</v>
      </c>
      <c r="C60" t="s">
        <v>18</v>
      </c>
      <c r="D60" t="s">
        <v>15</v>
      </c>
      <c r="E60">
        <v>495</v>
      </c>
      <c r="F60">
        <v>463</v>
      </c>
      <c r="G60">
        <v>390</v>
      </c>
      <c r="H60">
        <v>93063</v>
      </c>
      <c r="I60">
        <v>62445</v>
      </c>
      <c r="J60">
        <v>12657</v>
      </c>
      <c r="K60">
        <v>2111.3000000000002</v>
      </c>
      <c r="L60">
        <v>15</v>
      </c>
    </row>
    <row r="61" spans="1:12" x14ac:dyDescent="0.35">
      <c r="A61" s="1">
        <v>46167</v>
      </c>
      <c r="B61">
        <v>5</v>
      </c>
      <c r="C61" t="s">
        <v>18</v>
      </c>
      <c r="D61" t="s">
        <v>16</v>
      </c>
      <c r="E61">
        <v>496</v>
      </c>
      <c r="F61">
        <v>433</v>
      </c>
      <c r="G61">
        <v>362</v>
      </c>
      <c r="H61">
        <v>92662</v>
      </c>
      <c r="I61">
        <v>66531</v>
      </c>
      <c r="J61">
        <v>10749</v>
      </c>
      <c r="K61">
        <v>1931.2</v>
      </c>
      <c r="L61">
        <v>19</v>
      </c>
    </row>
    <row r="62" spans="1:12" x14ac:dyDescent="0.35">
      <c r="A62" s="1">
        <v>46198</v>
      </c>
      <c r="B62">
        <v>6</v>
      </c>
      <c r="C62" t="s">
        <v>12</v>
      </c>
      <c r="D62" t="s">
        <v>13</v>
      </c>
      <c r="E62">
        <v>548</v>
      </c>
      <c r="F62">
        <v>491</v>
      </c>
      <c r="G62">
        <v>416</v>
      </c>
      <c r="H62">
        <v>97709</v>
      </c>
      <c r="I62">
        <v>67615</v>
      </c>
      <c r="J62">
        <v>13386</v>
      </c>
      <c r="K62">
        <v>2258.6</v>
      </c>
      <c r="L62">
        <v>18</v>
      </c>
    </row>
    <row r="63" spans="1:12" x14ac:dyDescent="0.35">
      <c r="A63" s="1">
        <v>46198</v>
      </c>
      <c r="B63">
        <v>6</v>
      </c>
      <c r="C63" t="s">
        <v>12</v>
      </c>
      <c r="D63" t="s">
        <v>14</v>
      </c>
      <c r="E63">
        <v>529</v>
      </c>
      <c r="F63">
        <v>464</v>
      </c>
      <c r="G63">
        <v>378</v>
      </c>
      <c r="H63">
        <v>99296</v>
      </c>
      <c r="I63">
        <v>66230</v>
      </c>
      <c r="J63">
        <v>15589</v>
      </c>
      <c r="K63">
        <v>2041.6</v>
      </c>
      <c r="L63">
        <v>17</v>
      </c>
    </row>
    <row r="64" spans="1:12" x14ac:dyDescent="0.35">
      <c r="A64" s="1">
        <v>46198</v>
      </c>
      <c r="B64">
        <v>6</v>
      </c>
      <c r="C64" t="s">
        <v>12</v>
      </c>
      <c r="D64" t="s">
        <v>15</v>
      </c>
      <c r="E64">
        <v>574</v>
      </c>
      <c r="F64">
        <v>592</v>
      </c>
      <c r="G64">
        <v>565</v>
      </c>
      <c r="H64">
        <v>126096</v>
      </c>
      <c r="I64">
        <v>83602</v>
      </c>
      <c r="J64">
        <v>17906</v>
      </c>
      <c r="K64">
        <v>2782.4</v>
      </c>
      <c r="L64">
        <v>23</v>
      </c>
    </row>
    <row r="65" spans="1:12" x14ac:dyDescent="0.35">
      <c r="A65" s="1">
        <v>46198</v>
      </c>
      <c r="B65">
        <v>6</v>
      </c>
      <c r="C65" t="s">
        <v>12</v>
      </c>
      <c r="D65" t="s">
        <v>16</v>
      </c>
      <c r="E65">
        <v>570</v>
      </c>
      <c r="F65">
        <v>597</v>
      </c>
      <c r="G65">
        <v>568</v>
      </c>
      <c r="H65">
        <v>121788</v>
      </c>
      <c r="I65">
        <v>88053</v>
      </c>
      <c r="J65">
        <v>18512</v>
      </c>
      <c r="K65">
        <v>2746.2</v>
      </c>
      <c r="L65">
        <v>18</v>
      </c>
    </row>
    <row r="66" spans="1:12" x14ac:dyDescent="0.35">
      <c r="A66" s="1">
        <v>46198</v>
      </c>
      <c r="B66">
        <v>6</v>
      </c>
      <c r="C66" t="s">
        <v>17</v>
      </c>
      <c r="D66" t="s">
        <v>13</v>
      </c>
      <c r="E66">
        <v>482</v>
      </c>
      <c r="F66">
        <v>469</v>
      </c>
      <c r="G66">
        <v>413</v>
      </c>
      <c r="H66">
        <v>92862</v>
      </c>
      <c r="I66">
        <v>60732</v>
      </c>
      <c r="J66">
        <v>14579</v>
      </c>
      <c r="K66">
        <v>2016.7</v>
      </c>
      <c r="L66">
        <v>16</v>
      </c>
    </row>
    <row r="67" spans="1:12" x14ac:dyDescent="0.35">
      <c r="A67" s="1">
        <v>46198</v>
      </c>
      <c r="B67">
        <v>6</v>
      </c>
      <c r="C67" t="s">
        <v>17</v>
      </c>
      <c r="D67" t="s">
        <v>14</v>
      </c>
      <c r="E67">
        <v>436</v>
      </c>
      <c r="F67">
        <v>449</v>
      </c>
      <c r="G67">
        <v>407</v>
      </c>
      <c r="H67">
        <v>97433</v>
      </c>
      <c r="I67">
        <v>62942</v>
      </c>
      <c r="J67">
        <v>13641</v>
      </c>
      <c r="K67">
        <v>1885.8</v>
      </c>
      <c r="L67">
        <v>14</v>
      </c>
    </row>
    <row r="68" spans="1:12" x14ac:dyDescent="0.35">
      <c r="A68" s="1">
        <v>46198</v>
      </c>
      <c r="B68">
        <v>6</v>
      </c>
      <c r="C68" t="s">
        <v>17</v>
      </c>
      <c r="D68" t="s">
        <v>15</v>
      </c>
      <c r="E68">
        <v>437</v>
      </c>
      <c r="F68">
        <v>395</v>
      </c>
      <c r="G68">
        <v>340</v>
      </c>
      <c r="H68">
        <v>84135</v>
      </c>
      <c r="I68">
        <v>57380</v>
      </c>
      <c r="J68">
        <v>13125</v>
      </c>
      <c r="K68">
        <v>1659</v>
      </c>
      <c r="L68">
        <v>19</v>
      </c>
    </row>
    <row r="69" spans="1:12" x14ac:dyDescent="0.35">
      <c r="A69" s="1">
        <v>46198</v>
      </c>
      <c r="B69">
        <v>6</v>
      </c>
      <c r="C69" t="s">
        <v>17</v>
      </c>
      <c r="D69" t="s">
        <v>16</v>
      </c>
      <c r="E69">
        <v>519</v>
      </c>
      <c r="F69">
        <v>460</v>
      </c>
      <c r="G69">
        <v>388</v>
      </c>
      <c r="H69">
        <v>107180</v>
      </c>
      <c r="I69">
        <v>74383</v>
      </c>
      <c r="J69">
        <v>15970</v>
      </c>
      <c r="K69">
        <v>2208</v>
      </c>
      <c r="L69">
        <v>14</v>
      </c>
    </row>
    <row r="70" spans="1:12" x14ac:dyDescent="0.35">
      <c r="A70" s="1">
        <v>46198</v>
      </c>
      <c r="B70">
        <v>6</v>
      </c>
      <c r="C70" t="s">
        <v>18</v>
      </c>
      <c r="D70" t="s">
        <v>13</v>
      </c>
      <c r="E70">
        <v>484</v>
      </c>
      <c r="F70">
        <v>480</v>
      </c>
      <c r="G70">
        <v>400</v>
      </c>
      <c r="H70">
        <v>95520</v>
      </c>
      <c r="I70">
        <v>68106</v>
      </c>
      <c r="J70">
        <v>10125</v>
      </c>
      <c r="K70">
        <v>1824</v>
      </c>
      <c r="L70">
        <v>14</v>
      </c>
    </row>
    <row r="71" spans="1:12" x14ac:dyDescent="0.35">
      <c r="A71" s="1">
        <v>46198</v>
      </c>
      <c r="B71">
        <v>6</v>
      </c>
      <c r="C71" t="s">
        <v>18</v>
      </c>
      <c r="D71" t="s">
        <v>14</v>
      </c>
      <c r="E71">
        <v>459</v>
      </c>
      <c r="F71">
        <v>395</v>
      </c>
      <c r="G71">
        <v>355</v>
      </c>
      <c r="H71">
        <v>91640</v>
      </c>
      <c r="I71">
        <v>60666</v>
      </c>
      <c r="J71">
        <v>9164</v>
      </c>
      <c r="K71">
        <v>1659</v>
      </c>
      <c r="L71">
        <v>14</v>
      </c>
    </row>
    <row r="72" spans="1:12" x14ac:dyDescent="0.35">
      <c r="A72" s="1">
        <v>46198</v>
      </c>
      <c r="B72">
        <v>6</v>
      </c>
      <c r="C72" t="s">
        <v>18</v>
      </c>
      <c r="D72" t="s">
        <v>15</v>
      </c>
      <c r="E72">
        <v>444</v>
      </c>
      <c r="F72">
        <v>417</v>
      </c>
      <c r="G72">
        <v>385</v>
      </c>
      <c r="H72">
        <v>90072</v>
      </c>
      <c r="I72">
        <v>60258</v>
      </c>
      <c r="J72">
        <v>14321</v>
      </c>
      <c r="K72">
        <v>1709.7</v>
      </c>
      <c r="L72">
        <v>13</v>
      </c>
    </row>
    <row r="73" spans="1:12" x14ac:dyDescent="0.35">
      <c r="A73" s="1">
        <v>46198</v>
      </c>
      <c r="B73">
        <v>6</v>
      </c>
      <c r="C73" t="s">
        <v>18</v>
      </c>
      <c r="D73" t="s">
        <v>16</v>
      </c>
      <c r="E73">
        <v>483</v>
      </c>
      <c r="F73">
        <v>463</v>
      </c>
      <c r="G73">
        <v>430</v>
      </c>
      <c r="H73">
        <v>97693</v>
      </c>
      <c r="I73">
        <v>62230</v>
      </c>
      <c r="J73">
        <v>12895</v>
      </c>
      <c r="K73">
        <v>2083.5</v>
      </c>
      <c r="L73">
        <v>19</v>
      </c>
    </row>
    <row r="74" spans="1:12" x14ac:dyDescent="0.35">
      <c r="A74" s="1">
        <v>46228</v>
      </c>
      <c r="B74">
        <v>7</v>
      </c>
      <c r="C74" t="s">
        <v>12</v>
      </c>
      <c r="D74" t="s">
        <v>13</v>
      </c>
      <c r="E74">
        <v>522</v>
      </c>
      <c r="F74">
        <v>516</v>
      </c>
      <c r="G74">
        <v>486</v>
      </c>
      <c r="H74">
        <v>111972</v>
      </c>
      <c r="I74">
        <v>80396</v>
      </c>
      <c r="J74">
        <v>12205</v>
      </c>
      <c r="K74">
        <v>2187.8000000000002</v>
      </c>
      <c r="L74">
        <v>14</v>
      </c>
    </row>
    <row r="75" spans="1:12" x14ac:dyDescent="0.35">
      <c r="A75" s="1">
        <v>46228</v>
      </c>
      <c r="B75">
        <v>7</v>
      </c>
      <c r="C75" t="s">
        <v>12</v>
      </c>
      <c r="D75" t="s">
        <v>14</v>
      </c>
      <c r="E75">
        <v>588</v>
      </c>
      <c r="F75">
        <v>530</v>
      </c>
      <c r="G75">
        <v>476</v>
      </c>
      <c r="H75">
        <v>118190</v>
      </c>
      <c r="I75">
        <v>82024</v>
      </c>
      <c r="J75">
        <v>14892</v>
      </c>
      <c r="K75">
        <v>2141.1999999999998</v>
      </c>
      <c r="L75">
        <v>21</v>
      </c>
    </row>
    <row r="76" spans="1:12" x14ac:dyDescent="0.35">
      <c r="A76" s="1">
        <v>46228</v>
      </c>
      <c r="B76">
        <v>7</v>
      </c>
      <c r="C76" t="s">
        <v>12</v>
      </c>
      <c r="D76" t="s">
        <v>15</v>
      </c>
      <c r="E76">
        <v>593</v>
      </c>
      <c r="F76">
        <v>507</v>
      </c>
      <c r="G76">
        <v>433</v>
      </c>
      <c r="H76">
        <v>106977</v>
      </c>
      <c r="I76">
        <v>70819</v>
      </c>
      <c r="J76">
        <v>14014</v>
      </c>
      <c r="K76">
        <v>2403.1999999999998</v>
      </c>
      <c r="L76">
        <v>21</v>
      </c>
    </row>
    <row r="77" spans="1:12" x14ac:dyDescent="0.35">
      <c r="A77" s="1">
        <v>46228</v>
      </c>
      <c r="B77">
        <v>7</v>
      </c>
      <c r="C77" t="s">
        <v>12</v>
      </c>
      <c r="D77" t="s">
        <v>16</v>
      </c>
      <c r="E77">
        <v>630</v>
      </c>
      <c r="F77">
        <v>632</v>
      </c>
      <c r="G77">
        <v>607</v>
      </c>
      <c r="H77">
        <v>123240</v>
      </c>
      <c r="I77">
        <v>87377</v>
      </c>
      <c r="J77">
        <v>18856</v>
      </c>
      <c r="K77">
        <v>2869.3</v>
      </c>
      <c r="L77">
        <v>28</v>
      </c>
    </row>
    <row r="78" spans="1:12" x14ac:dyDescent="0.35">
      <c r="A78" s="1">
        <v>46228</v>
      </c>
      <c r="B78">
        <v>7</v>
      </c>
      <c r="C78" t="s">
        <v>17</v>
      </c>
      <c r="D78" t="s">
        <v>13</v>
      </c>
      <c r="E78">
        <v>474</v>
      </c>
      <c r="F78">
        <v>450</v>
      </c>
      <c r="G78">
        <v>432</v>
      </c>
      <c r="H78">
        <v>95850</v>
      </c>
      <c r="I78">
        <v>66136</v>
      </c>
      <c r="J78">
        <v>13898</v>
      </c>
      <c r="K78">
        <v>1638</v>
      </c>
      <c r="L78">
        <v>20</v>
      </c>
    </row>
    <row r="79" spans="1:12" x14ac:dyDescent="0.35">
      <c r="A79" s="1">
        <v>46228</v>
      </c>
      <c r="B79">
        <v>7</v>
      </c>
      <c r="C79" t="s">
        <v>17</v>
      </c>
      <c r="D79" t="s">
        <v>14</v>
      </c>
      <c r="E79">
        <v>473</v>
      </c>
      <c r="F79">
        <v>482</v>
      </c>
      <c r="G79">
        <v>460</v>
      </c>
      <c r="H79">
        <v>93026</v>
      </c>
      <c r="I79">
        <v>61955</v>
      </c>
      <c r="J79">
        <v>11256</v>
      </c>
      <c r="K79">
        <v>2236.5</v>
      </c>
      <c r="L79">
        <v>19</v>
      </c>
    </row>
    <row r="80" spans="1:12" x14ac:dyDescent="0.35">
      <c r="A80" s="1">
        <v>46228</v>
      </c>
      <c r="B80">
        <v>7</v>
      </c>
      <c r="C80" t="s">
        <v>17</v>
      </c>
      <c r="D80" t="s">
        <v>15</v>
      </c>
      <c r="E80">
        <v>447</v>
      </c>
      <c r="F80">
        <v>408</v>
      </c>
      <c r="G80">
        <v>336</v>
      </c>
      <c r="H80">
        <v>88944</v>
      </c>
      <c r="I80">
        <v>61816</v>
      </c>
      <c r="J80">
        <v>11207</v>
      </c>
      <c r="K80">
        <v>1852.3</v>
      </c>
      <c r="L80">
        <v>18</v>
      </c>
    </row>
    <row r="81" spans="1:12" x14ac:dyDescent="0.35">
      <c r="A81" s="1">
        <v>46228</v>
      </c>
      <c r="B81">
        <v>7</v>
      </c>
      <c r="C81" t="s">
        <v>17</v>
      </c>
      <c r="D81" t="s">
        <v>16</v>
      </c>
      <c r="E81">
        <v>489</v>
      </c>
      <c r="F81">
        <v>511</v>
      </c>
      <c r="G81">
        <v>444</v>
      </c>
      <c r="H81">
        <v>107310</v>
      </c>
      <c r="I81">
        <v>76512</v>
      </c>
      <c r="J81">
        <v>11697</v>
      </c>
      <c r="K81">
        <v>2371</v>
      </c>
      <c r="L81">
        <v>16</v>
      </c>
    </row>
    <row r="82" spans="1:12" x14ac:dyDescent="0.35">
      <c r="A82" s="1">
        <v>46228</v>
      </c>
      <c r="B82">
        <v>7</v>
      </c>
      <c r="C82" t="s">
        <v>18</v>
      </c>
      <c r="D82" t="s">
        <v>13</v>
      </c>
      <c r="E82">
        <v>466</v>
      </c>
      <c r="F82">
        <v>442</v>
      </c>
      <c r="G82">
        <v>405</v>
      </c>
      <c r="H82">
        <v>85748</v>
      </c>
      <c r="I82">
        <v>60195</v>
      </c>
      <c r="J82">
        <v>10118</v>
      </c>
      <c r="K82">
        <v>2050.9</v>
      </c>
      <c r="L82">
        <v>19</v>
      </c>
    </row>
    <row r="83" spans="1:12" x14ac:dyDescent="0.35">
      <c r="A83" s="1">
        <v>46228</v>
      </c>
      <c r="B83">
        <v>7</v>
      </c>
      <c r="C83" t="s">
        <v>18</v>
      </c>
      <c r="D83" t="s">
        <v>14</v>
      </c>
      <c r="E83">
        <v>456</v>
      </c>
      <c r="F83">
        <v>456</v>
      </c>
      <c r="G83">
        <v>432</v>
      </c>
      <c r="H83">
        <v>105336</v>
      </c>
      <c r="I83">
        <v>72577</v>
      </c>
      <c r="J83">
        <v>12851</v>
      </c>
      <c r="K83">
        <v>2070.1999999999998</v>
      </c>
      <c r="L83">
        <v>21</v>
      </c>
    </row>
    <row r="84" spans="1:12" x14ac:dyDescent="0.35">
      <c r="A84" s="1">
        <v>46228</v>
      </c>
      <c r="B84">
        <v>7</v>
      </c>
      <c r="C84" t="s">
        <v>18</v>
      </c>
      <c r="D84" t="s">
        <v>15</v>
      </c>
      <c r="E84">
        <v>504</v>
      </c>
      <c r="F84">
        <v>502</v>
      </c>
      <c r="G84">
        <v>442</v>
      </c>
      <c r="H84">
        <v>106926</v>
      </c>
      <c r="I84">
        <v>71747</v>
      </c>
      <c r="J84">
        <v>14007</v>
      </c>
      <c r="K84">
        <v>2028.1</v>
      </c>
      <c r="L84">
        <v>19</v>
      </c>
    </row>
    <row r="85" spans="1:12" x14ac:dyDescent="0.35">
      <c r="A85" s="1">
        <v>46228</v>
      </c>
      <c r="B85">
        <v>7</v>
      </c>
      <c r="C85" t="s">
        <v>18</v>
      </c>
      <c r="D85" t="s">
        <v>16</v>
      </c>
      <c r="E85">
        <v>528</v>
      </c>
      <c r="F85">
        <v>542</v>
      </c>
      <c r="G85">
        <v>500</v>
      </c>
      <c r="H85">
        <v>102980</v>
      </c>
      <c r="I85">
        <v>68482</v>
      </c>
      <c r="J85">
        <v>16374</v>
      </c>
      <c r="K85">
        <v>2027.1</v>
      </c>
      <c r="L85">
        <v>18</v>
      </c>
    </row>
    <row r="86" spans="1:12" x14ac:dyDescent="0.35">
      <c r="A86" s="1">
        <v>46259</v>
      </c>
      <c r="B86">
        <v>8</v>
      </c>
      <c r="C86" t="s">
        <v>12</v>
      </c>
      <c r="D86" t="s">
        <v>13</v>
      </c>
      <c r="E86">
        <v>557</v>
      </c>
      <c r="F86">
        <v>554</v>
      </c>
      <c r="G86">
        <v>503</v>
      </c>
      <c r="H86">
        <v>108030</v>
      </c>
      <c r="I86">
        <v>69571</v>
      </c>
      <c r="J86">
        <v>15124</v>
      </c>
      <c r="K86">
        <v>2038.7</v>
      </c>
      <c r="L86">
        <v>18</v>
      </c>
    </row>
    <row r="87" spans="1:12" x14ac:dyDescent="0.35">
      <c r="A87" s="1">
        <v>46259</v>
      </c>
      <c r="B87">
        <v>8</v>
      </c>
      <c r="C87" t="s">
        <v>12</v>
      </c>
      <c r="D87" t="s">
        <v>14</v>
      </c>
      <c r="E87">
        <v>571</v>
      </c>
      <c r="F87">
        <v>519</v>
      </c>
      <c r="G87">
        <v>455</v>
      </c>
      <c r="H87">
        <v>105357</v>
      </c>
      <c r="I87">
        <v>71959</v>
      </c>
      <c r="J87">
        <v>14434</v>
      </c>
      <c r="K87">
        <v>2221.3000000000002</v>
      </c>
      <c r="L87">
        <v>22</v>
      </c>
    </row>
    <row r="88" spans="1:12" x14ac:dyDescent="0.35">
      <c r="A88" s="1">
        <v>46259</v>
      </c>
      <c r="B88">
        <v>8</v>
      </c>
      <c r="C88" t="s">
        <v>12</v>
      </c>
      <c r="D88" t="s">
        <v>15</v>
      </c>
      <c r="E88">
        <v>551</v>
      </c>
      <c r="F88">
        <v>545</v>
      </c>
      <c r="G88">
        <v>501</v>
      </c>
      <c r="H88">
        <v>116085</v>
      </c>
      <c r="I88">
        <v>81376</v>
      </c>
      <c r="J88">
        <v>16948</v>
      </c>
      <c r="K88">
        <v>2114.6</v>
      </c>
      <c r="L88">
        <v>17</v>
      </c>
    </row>
    <row r="89" spans="1:12" x14ac:dyDescent="0.35">
      <c r="A89" s="1">
        <v>46259</v>
      </c>
      <c r="B89">
        <v>8</v>
      </c>
      <c r="C89" t="s">
        <v>12</v>
      </c>
      <c r="D89" t="s">
        <v>16</v>
      </c>
      <c r="E89">
        <v>648</v>
      </c>
      <c r="F89">
        <v>559</v>
      </c>
      <c r="G89">
        <v>492</v>
      </c>
      <c r="H89">
        <v>116272</v>
      </c>
      <c r="I89">
        <v>80693</v>
      </c>
      <c r="J89">
        <v>15464</v>
      </c>
      <c r="K89">
        <v>2448.4</v>
      </c>
      <c r="L89">
        <v>20</v>
      </c>
    </row>
    <row r="90" spans="1:12" x14ac:dyDescent="0.35">
      <c r="A90" s="1">
        <v>46259</v>
      </c>
      <c r="B90">
        <v>8</v>
      </c>
      <c r="C90" t="s">
        <v>17</v>
      </c>
      <c r="D90" t="s">
        <v>13</v>
      </c>
      <c r="E90">
        <v>510</v>
      </c>
      <c r="F90">
        <v>457</v>
      </c>
      <c r="G90">
        <v>385</v>
      </c>
      <c r="H90">
        <v>108309</v>
      </c>
      <c r="I90">
        <v>69859</v>
      </c>
      <c r="J90">
        <v>13647</v>
      </c>
      <c r="K90">
        <v>2093.1</v>
      </c>
      <c r="L90">
        <v>14</v>
      </c>
    </row>
    <row r="91" spans="1:12" x14ac:dyDescent="0.35">
      <c r="A91" s="1">
        <v>46259</v>
      </c>
      <c r="B91">
        <v>8</v>
      </c>
      <c r="C91" t="s">
        <v>17</v>
      </c>
      <c r="D91" t="s">
        <v>14</v>
      </c>
      <c r="E91">
        <v>490</v>
      </c>
      <c r="F91">
        <v>456</v>
      </c>
      <c r="G91">
        <v>404</v>
      </c>
      <c r="H91">
        <v>108528</v>
      </c>
      <c r="I91">
        <v>75535</v>
      </c>
      <c r="J91">
        <v>13349</v>
      </c>
      <c r="K91">
        <v>1860.5</v>
      </c>
      <c r="L91">
        <v>14</v>
      </c>
    </row>
    <row r="92" spans="1:12" x14ac:dyDescent="0.35">
      <c r="A92" s="1">
        <v>46259</v>
      </c>
      <c r="B92">
        <v>8</v>
      </c>
      <c r="C92" t="s">
        <v>17</v>
      </c>
      <c r="D92" t="s">
        <v>15</v>
      </c>
      <c r="E92">
        <v>525</v>
      </c>
      <c r="F92">
        <v>552</v>
      </c>
      <c r="G92">
        <v>501</v>
      </c>
      <c r="H92">
        <v>131928</v>
      </c>
      <c r="I92">
        <v>94460</v>
      </c>
      <c r="J92">
        <v>15040</v>
      </c>
      <c r="K92">
        <v>2362.6</v>
      </c>
      <c r="L92">
        <v>20</v>
      </c>
    </row>
    <row r="93" spans="1:12" x14ac:dyDescent="0.35">
      <c r="A93" s="1">
        <v>46259</v>
      </c>
      <c r="B93">
        <v>8</v>
      </c>
      <c r="C93" t="s">
        <v>17</v>
      </c>
      <c r="D93" t="s">
        <v>16</v>
      </c>
      <c r="E93">
        <v>553</v>
      </c>
      <c r="F93">
        <v>515</v>
      </c>
      <c r="G93">
        <v>484</v>
      </c>
      <c r="H93">
        <v>102485</v>
      </c>
      <c r="I93">
        <v>67743</v>
      </c>
      <c r="J93">
        <v>10248</v>
      </c>
      <c r="K93">
        <v>2152.6999999999998</v>
      </c>
      <c r="L93">
        <v>18</v>
      </c>
    </row>
    <row r="94" spans="1:12" x14ac:dyDescent="0.35">
      <c r="A94" s="1">
        <v>46259</v>
      </c>
      <c r="B94">
        <v>8</v>
      </c>
      <c r="C94" t="s">
        <v>18</v>
      </c>
      <c r="D94" t="s">
        <v>13</v>
      </c>
      <c r="E94">
        <v>474</v>
      </c>
      <c r="F94">
        <v>459</v>
      </c>
      <c r="G94">
        <v>425</v>
      </c>
      <c r="H94">
        <v>103734</v>
      </c>
      <c r="I94">
        <v>69294</v>
      </c>
      <c r="J94">
        <v>14419</v>
      </c>
      <c r="K94">
        <v>1780.9</v>
      </c>
      <c r="L94">
        <v>15</v>
      </c>
    </row>
    <row r="95" spans="1:12" x14ac:dyDescent="0.35">
      <c r="A95" s="1">
        <v>46259</v>
      </c>
      <c r="B95">
        <v>8</v>
      </c>
      <c r="C95" t="s">
        <v>18</v>
      </c>
      <c r="D95" t="s">
        <v>14</v>
      </c>
      <c r="E95">
        <v>467</v>
      </c>
      <c r="F95">
        <v>427</v>
      </c>
      <c r="G95">
        <v>362</v>
      </c>
      <c r="H95">
        <v>86254</v>
      </c>
      <c r="I95">
        <v>58653</v>
      </c>
      <c r="J95">
        <v>10695</v>
      </c>
      <c r="K95">
        <v>1784.9</v>
      </c>
      <c r="L95">
        <v>18</v>
      </c>
    </row>
    <row r="96" spans="1:12" x14ac:dyDescent="0.35">
      <c r="A96" s="1">
        <v>46259</v>
      </c>
      <c r="B96">
        <v>8</v>
      </c>
      <c r="C96" t="s">
        <v>18</v>
      </c>
      <c r="D96" t="s">
        <v>15</v>
      </c>
      <c r="E96">
        <v>508</v>
      </c>
      <c r="F96">
        <v>471</v>
      </c>
      <c r="G96">
        <v>437</v>
      </c>
      <c r="H96">
        <v>92787</v>
      </c>
      <c r="I96">
        <v>64673</v>
      </c>
      <c r="J96">
        <v>12155</v>
      </c>
      <c r="K96">
        <v>1874.6</v>
      </c>
      <c r="L96">
        <v>14</v>
      </c>
    </row>
    <row r="97" spans="1:12" x14ac:dyDescent="0.35">
      <c r="A97" s="1">
        <v>46259</v>
      </c>
      <c r="B97">
        <v>8</v>
      </c>
      <c r="C97" t="s">
        <v>18</v>
      </c>
      <c r="D97" t="s">
        <v>16</v>
      </c>
      <c r="E97">
        <v>538</v>
      </c>
      <c r="F97">
        <v>489</v>
      </c>
      <c r="G97">
        <v>415</v>
      </c>
      <c r="H97">
        <v>96822</v>
      </c>
      <c r="I97">
        <v>69615</v>
      </c>
      <c r="J97">
        <v>10650</v>
      </c>
      <c r="K97">
        <v>1897.3</v>
      </c>
      <c r="L97">
        <v>21</v>
      </c>
    </row>
    <row r="98" spans="1:12" x14ac:dyDescent="0.35">
      <c r="A98" s="1">
        <v>46290</v>
      </c>
      <c r="B98">
        <v>9</v>
      </c>
      <c r="C98" t="s">
        <v>12</v>
      </c>
      <c r="D98" t="s">
        <v>13</v>
      </c>
      <c r="E98">
        <v>544</v>
      </c>
      <c r="F98">
        <v>517</v>
      </c>
      <c r="G98">
        <v>437</v>
      </c>
      <c r="H98">
        <v>117876</v>
      </c>
      <c r="I98">
        <v>79684</v>
      </c>
      <c r="J98">
        <v>18035</v>
      </c>
      <c r="K98">
        <v>2336.8000000000002</v>
      </c>
      <c r="L98">
        <v>14</v>
      </c>
    </row>
    <row r="99" spans="1:12" x14ac:dyDescent="0.35">
      <c r="A99" s="1">
        <v>46290</v>
      </c>
      <c r="B99">
        <v>9</v>
      </c>
      <c r="C99" t="s">
        <v>12</v>
      </c>
      <c r="D99" t="s">
        <v>14</v>
      </c>
      <c r="E99">
        <v>571</v>
      </c>
      <c r="F99">
        <v>588</v>
      </c>
      <c r="G99">
        <v>487</v>
      </c>
      <c r="H99">
        <v>130536</v>
      </c>
      <c r="I99">
        <v>85632</v>
      </c>
      <c r="J99">
        <v>13706</v>
      </c>
      <c r="K99">
        <v>2363.8000000000002</v>
      </c>
      <c r="L99">
        <v>26</v>
      </c>
    </row>
    <row r="100" spans="1:12" x14ac:dyDescent="0.35">
      <c r="A100" s="1">
        <v>46290</v>
      </c>
      <c r="B100">
        <v>9</v>
      </c>
      <c r="C100" t="s">
        <v>12</v>
      </c>
      <c r="D100" t="s">
        <v>15</v>
      </c>
      <c r="E100">
        <v>574</v>
      </c>
      <c r="F100">
        <v>574</v>
      </c>
      <c r="G100">
        <v>489</v>
      </c>
      <c r="H100">
        <v>114226</v>
      </c>
      <c r="I100">
        <v>81215</v>
      </c>
      <c r="J100">
        <v>17477</v>
      </c>
      <c r="K100">
        <v>2364.9</v>
      </c>
      <c r="L100">
        <v>15</v>
      </c>
    </row>
    <row r="101" spans="1:12" x14ac:dyDescent="0.35">
      <c r="A101" s="1">
        <v>46290</v>
      </c>
      <c r="B101">
        <v>9</v>
      </c>
      <c r="C101" t="s">
        <v>12</v>
      </c>
      <c r="D101" t="s">
        <v>16</v>
      </c>
      <c r="E101">
        <v>616</v>
      </c>
      <c r="F101">
        <v>575</v>
      </c>
      <c r="G101">
        <v>501</v>
      </c>
      <c r="H101">
        <v>127650</v>
      </c>
      <c r="I101">
        <v>83611</v>
      </c>
      <c r="J101">
        <v>17105</v>
      </c>
      <c r="K101">
        <v>2426.5</v>
      </c>
      <c r="L101">
        <v>17</v>
      </c>
    </row>
    <row r="102" spans="1:12" x14ac:dyDescent="0.35">
      <c r="A102" s="1">
        <v>46290</v>
      </c>
      <c r="B102">
        <v>9</v>
      </c>
      <c r="C102" t="s">
        <v>17</v>
      </c>
      <c r="D102" t="s">
        <v>13</v>
      </c>
      <c r="E102">
        <v>465</v>
      </c>
      <c r="F102">
        <v>453</v>
      </c>
      <c r="G102">
        <v>395</v>
      </c>
      <c r="H102">
        <v>86976</v>
      </c>
      <c r="I102">
        <v>55404</v>
      </c>
      <c r="J102">
        <v>12090</v>
      </c>
      <c r="K102">
        <v>1730.5</v>
      </c>
      <c r="L102">
        <v>19</v>
      </c>
    </row>
    <row r="103" spans="1:12" x14ac:dyDescent="0.35">
      <c r="A103" s="1">
        <v>46290</v>
      </c>
      <c r="B103">
        <v>9</v>
      </c>
      <c r="C103" t="s">
        <v>17</v>
      </c>
      <c r="D103" t="s">
        <v>14</v>
      </c>
      <c r="E103">
        <v>504</v>
      </c>
      <c r="F103">
        <v>443</v>
      </c>
      <c r="G103">
        <v>417</v>
      </c>
      <c r="H103">
        <v>89043</v>
      </c>
      <c r="I103">
        <v>64111</v>
      </c>
      <c r="J103">
        <v>12911</v>
      </c>
      <c r="K103">
        <v>1913.8</v>
      </c>
      <c r="L103">
        <v>12</v>
      </c>
    </row>
    <row r="104" spans="1:12" x14ac:dyDescent="0.35">
      <c r="A104" s="1">
        <v>46290</v>
      </c>
      <c r="B104">
        <v>9</v>
      </c>
      <c r="C104" t="s">
        <v>17</v>
      </c>
      <c r="D104" t="s">
        <v>15</v>
      </c>
      <c r="E104">
        <v>481</v>
      </c>
      <c r="F104">
        <v>429</v>
      </c>
      <c r="G104">
        <v>360</v>
      </c>
      <c r="H104">
        <v>102531</v>
      </c>
      <c r="I104">
        <v>66235</v>
      </c>
      <c r="J104">
        <v>12099</v>
      </c>
      <c r="K104">
        <v>1681.7</v>
      </c>
      <c r="L104">
        <v>19</v>
      </c>
    </row>
    <row r="105" spans="1:12" x14ac:dyDescent="0.35">
      <c r="A105" s="1">
        <v>46290</v>
      </c>
      <c r="B105">
        <v>9</v>
      </c>
      <c r="C105" t="s">
        <v>17</v>
      </c>
      <c r="D105" t="s">
        <v>16</v>
      </c>
      <c r="E105">
        <v>496</v>
      </c>
      <c r="F105">
        <v>496</v>
      </c>
      <c r="G105">
        <v>440</v>
      </c>
      <c r="H105">
        <v>107632</v>
      </c>
      <c r="I105">
        <v>77387</v>
      </c>
      <c r="J105">
        <v>15284</v>
      </c>
      <c r="K105">
        <v>2192.3000000000002</v>
      </c>
      <c r="L105">
        <v>19</v>
      </c>
    </row>
    <row r="106" spans="1:12" x14ac:dyDescent="0.35">
      <c r="A106" s="1">
        <v>46290</v>
      </c>
      <c r="B106">
        <v>9</v>
      </c>
      <c r="C106" t="s">
        <v>18</v>
      </c>
      <c r="D106" t="s">
        <v>13</v>
      </c>
      <c r="E106">
        <v>495</v>
      </c>
      <c r="F106">
        <v>436</v>
      </c>
      <c r="G106">
        <v>382</v>
      </c>
      <c r="H106">
        <v>100716</v>
      </c>
      <c r="I106">
        <v>64458</v>
      </c>
      <c r="J106">
        <v>11985</v>
      </c>
      <c r="K106">
        <v>1578.3</v>
      </c>
      <c r="L106">
        <v>13</v>
      </c>
    </row>
    <row r="107" spans="1:12" x14ac:dyDescent="0.35">
      <c r="A107" s="1">
        <v>46290</v>
      </c>
      <c r="B107">
        <v>9</v>
      </c>
      <c r="C107" t="s">
        <v>18</v>
      </c>
      <c r="D107" t="s">
        <v>14</v>
      </c>
      <c r="E107">
        <v>471</v>
      </c>
      <c r="F107">
        <v>490</v>
      </c>
      <c r="G107">
        <v>469</v>
      </c>
      <c r="H107">
        <v>105350</v>
      </c>
      <c r="I107">
        <v>73956</v>
      </c>
      <c r="J107">
        <v>15276</v>
      </c>
      <c r="K107">
        <v>1773.8</v>
      </c>
      <c r="L107">
        <v>17</v>
      </c>
    </row>
    <row r="108" spans="1:12" x14ac:dyDescent="0.35">
      <c r="A108" s="1">
        <v>46290</v>
      </c>
      <c r="B108">
        <v>9</v>
      </c>
      <c r="C108" t="s">
        <v>18</v>
      </c>
      <c r="D108" t="s">
        <v>15</v>
      </c>
      <c r="E108">
        <v>454</v>
      </c>
      <c r="F108">
        <v>407</v>
      </c>
      <c r="G108">
        <v>380</v>
      </c>
      <c r="H108">
        <v>83435</v>
      </c>
      <c r="I108">
        <v>58655</v>
      </c>
      <c r="J108">
        <v>8594</v>
      </c>
      <c r="K108">
        <v>1473.3</v>
      </c>
      <c r="L108">
        <v>10</v>
      </c>
    </row>
    <row r="109" spans="1:12" x14ac:dyDescent="0.35">
      <c r="A109" s="1">
        <v>46290</v>
      </c>
      <c r="B109">
        <v>9</v>
      </c>
      <c r="C109" t="s">
        <v>18</v>
      </c>
      <c r="D109" t="s">
        <v>16</v>
      </c>
      <c r="E109">
        <v>505</v>
      </c>
      <c r="F109">
        <v>488</v>
      </c>
      <c r="G109">
        <v>434</v>
      </c>
      <c r="H109">
        <v>98576</v>
      </c>
      <c r="I109">
        <v>70975</v>
      </c>
      <c r="J109">
        <v>12026</v>
      </c>
      <c r="K109">
        <v>1961.8</v>
      </c>
      <c r="L109">
        <v>21</v>
      </c>
    </row>
    <row r="110" spans="1:12" x14ac:dyDescent="0.35">
      <c r="A110" s="1">
        <v>46320</v>
      </c>
      <c r="B110">
        <v>10</v>
      </c>
      <c r="C110" t="s">
        <v>12</v>
      </c>
      <c r="D110" t="s">
        <v>13</v>
      </c>
      <c r="E110">
        <v>569</v>
      </c>
      <c r="F110">
        <v>537</v>
      </c>
      <c r="G110">
        <v>506</v>
      </c>
      <c r="H110">
        <v>124584</v>
      </c>
      <c r="I110">
        <v>78737</v>
      </c>
      <c r="J110">
        <v>19311</v>
      </c>
      <c r="K110">
        <v>2180.1999999999998</v>
      </c>
      <c r="L110">
        <v>23</v>
      </c>
    </row>
    <row r="111" spans="1:12" x14ac:dyDescent="0.35">
      <c r="A111" s="1">
        <v>46320</v>
      </c>
      <c r="B111">
        <v>10</v>
      </c>
      <c r="C111" t="s">
        <v>12</v>
      </c>
      <c r="D111" t="s">
        <v>14</v>
      </c>
      <c r="E111">
        <v>607</v>
      </c>
      <c r="F111">
        <v>631</v>
      </c>
      <c r="G111">
        <v>570</v>
      </c>
      <c r="H111">
        <v>124307</v>
      </c>
      <c r="I111">
        <v>89501</v>
      </c>
      <c r="J111">
        <v>13301</v>
      </c>
      <c r="K111">
        <v>2246.4</v>
      </c>
      <c r="L111">
        <v>17</v>
      </c>
    </row>
    <row r="112" spans="1:12" x14ac:dyDescent="0.35">
      <c r="A112" s="1">
        <v>46320</v>
      </c>
      <c r="B112">
        <v>10</v>
      </c>
      <c r="C112" t="s">
        <v>12</v>
      </c>
      <c r="D112" t="s">
        <v>15</v>
      </c>
      <c r="E112">
        <v>570</v>
      </c>
      <c r="F112">
        <v>559</v>
      </c>
      <c r="G112">
        <v>532</v>
      </c>
      <c r="H112">
        <v>122421</v>
      </c>
      <c r="I112">
        <v>82512</v>
      </c>
      <c r="J112">
        <v>17629</v>
      </c>
      <c r="K112">
        <v>2269.5</v>
      </c>
      <c r="L112">
        <v>16</v>
      </c>
    </row>
    <row r="113" spans="1:12" x14ac:dyDescent="0.35">
      <c r="A113" s="1">
        <v>46320</v>
      </c>
      <c r="B113">
        <v>10</v>
      </c>
      <c r="C113" t="s">
        <v>12</v>
      </c>
      <c r="D113" t="s">
        <v>16</v>
      </c>
      <c r="E113">
        <v>642</v>
      </c>
      <c r="F113">
        <v>627</v>
      </c>
      <c r="G113">
        <v>604</v>
      </c>
      <c r="H113">
        <v>138567</v>
      </c>
      <c r="I113">
        <v>93948</v>
      </c>
      <c r="J113">
        <v>18984</v>
      </c>
      <c r="K113">
        <v>2545.6</v>
      </c>
      <c r="L113">
        <v>17</v>
      </c>
    </row>
    <row r="114" spans="1:12" x14ac:dyDescent="0.35">
      <c r="A114" s="1">
        <v>46320</v>
      </c>
      <c r="B114">
        <v>10</v>
      </c>
      <c r="C114" t="s">
        <v>17</v>
      </c>
      <c r="D114" t="s">
        <v>13</v>
      </c>
      <c r="E114">
        <v>531</v>
      </c>
      <c r="F114">
        <v>475</v>
      </c>
      <c r="G114">
        <v>437</v>
      </c>
      <c r="H114">
        <v>100700</v>
      </c>
      <c r="I114">
        <v>70893</v>
      </c>
      <c r="J114">
        <v>13292</v>
      </c>
      <c r="K114">
        <v>1976</v>
      </c>
      <c r="L114">
        <v>19</v>
      </c>
    </row>
    <row r="115" spans="1:12" x14ac:dyDescent="0.35">
      <c r="A115" s="1">
        <v>46320</v>
      </c>
      <c r="B115">
        <v>10</v>
      </c>
      <c r="C115" t="s">
        <v>17</v>
      </c>
      <c r="D115" t="s">
        <v>14</v>
      </c>
      <c r="E115">
        <v>473</v>
      </c>
      <c r="F115">
        <v>452</v>
      </c>
      <c r="G115">
        <v>405</v>
      </c>
      <c r="H115">
        <v>88140</v>
      </c>
      <c r="I115">
        <v>61874</v>
      </c>
      <c r="J115">
        <v>10841</v>
      </c>
      <c r="K115">
        <v>2061.1</v>
      </c>
      <c r="L115">
        <v>15</v>
      </c>
    </row>
    <row r="116" spans="1:12" x14ac:dyDescent="0.35">
      <c r="A116" s="1">
        <v>46320</v>
      </c>
      <c r="B116">
        <v>10</v>
      </c>
      <c r="C116" t="s">
        <v>17</v>
      </c>
      <c r="D116" t="s">
        <v>15</v>
      </c>
      <c r="E116">
        <v>526</v>
      </c>
      <c r="F116">
        <v>501</v>
      </c>
      <c r="G116">
        <v>462</v>
      </c>
      <c r="H116">
        <v>101202</v>
      </c>
      <c r="I116">
        <v>64061</v>
      </c>
      <c r="J116">
        <v>10424</v>
      </c>
      <c r="K116">
        <v>2284.6</v>
      </c>
      <c r="L116">
        <v>16</v>
      </c>
    </row>
    <row r="117" spans="1:12" x14ac:dyDescent="0.35">
      <c r="A117" s="1">
        <v>46320</v>
      </c>
      <c r="B117">
        <v>10</v>
      </c>
      <c r="C117" t="s">
        <v>17</v>
      </c>
      <c r="D117" t="s">
        <v>16</v>
      </c>
      <c r="E117">
        <v>555</v>
      </c>
      <c r="F117">
        <v>568</v>
      </c>
      <c r="G117">
        <v>542</v>
      </c>
      <c r="H117">
        <v>117008</v>
      </c>
      <c r="I117">
        <v>78863</v>
      </c>
      <c r="J117">
        <v>12637</v>
      </c>
      <c r="K117">
        <v>2135.6999999999998</v>
      </c>
      <c r="L117">
        <v>20</v>
      </c>
    </row>
    <row r="118" spans="1:12" x14ac:dyDescent="0.35">
      <c r="A118" s="1">
        <v>46320</v>
      </c>
      <c r="B118">
        <v>10</v>
      </c>
      <c r="C118" t="s">
        <v>18</v>
      </c>
      <c r="D118" t="s">
        <v>13</v>
      </c>
      <c r="E118">
        <v>487</v>
      </c>
      <c r="F118">
        <v>454</v>
      </c>
      <c r="G118">
        <v>385</v>
      </c>
      <c r="H118">
        <v>99426</v>
      </c>
      <c r="I118">
        <v>69698</v>
      </c>
      <c r="J118">
        <v>10141</v>
      </c>
      <c r="K118">
        <v>1934</v>
      </c>
      <c r="L118">
        <v>19</v>
      </c>
    </row>
    <row r="119" spans="1:12" x14ac:dyDescent="0.35">
      <c r="A119" s="1">
        <v>46320</v>
      </c>
      <c r="B119">
        <v>10</v>
      </c>
      <c r="C119" t="s">
        <v>18</v>
      </c>
      <c r="D119" t="s">
        <v>14</v>
      </c>
      <c r="E119">
        <v>509</v>
      </c>
      <c r="F119">
        <v>443</v>
      </c>
      <c r="G119">
        <v>410</v>
      </c>
      <c r="H119">
        <v>93916</v>
      </c>
      <c r="I119">
        <v>62266</v>
      </c>
      <c r="J119">
        <v>11646</v>
      </c>
      <c r="K119">
        <v>1887.2</v>
      </c>
      <c r="L119">
        <v>14</v>
      </c>
    </row>
    <row r="120" spans="1:12" x14ac:dyDescent="0.35">
      <c r="A120" s="1">
        <v>46320</v>
      </c>
      <c r="B120">
        <v>10</v>
      </c>
      <c r="C120" t="s">
        <v>18</v>
      </c>
      <c r="D120" t="s">
        <v>15</v>
      </c>
      <c r="E120">
        <v>507</v>
      </c>
      <c r="F120">
        <v>489</v>
      </c>
      <c r="G120">
        <v>450</v>
      </c>
      <c r="H120">
        <v>104157</v>
      </c>
      <c r="I120">
        <v>67285</v>
      </c>
      <c r="J120">
        <v>16457</v>
      </c>
      <c r="K120">
        <v>1887.5</v>
      </c>
      <c r="L120">
        <v>13</v>
      </c>
    </row>
    <row r="121" spans="1:12" x14ac:dyDescent="0.35">
      <c r="A121" s="1">
        <v>46320</v>
      </c>
      <c r="B121">
        <v>10</v>
      </c>
      <c r="C121" t="s">
        <v>18</v>
      </c>
      <c r="D121" t="s">
        <v>16</v>
      </c>
      <c r="E121">
        <v>582</v>
      </c>
      <c r="F121">
        <v>509</v>
      </c>
      <c r="G121">
        <v>432</v>
      </c>
      <c r="H121">
        <v>116561</v>
      </c>
      <c r="I121">
        <v>74599</v>
      </c>
      <c r="J121">
        <v>16085</v>
      </c>
      <c r="K121">
        <v>2066.5</v>
      </c>
      <c r="L121">
        <v>12</v>
      </c>
    </row>
    <row r="122" spans="1:12" x14ac:dyDescent="0.35">
      <c r="A122" s="1">
        <v>46351</v>
      </c>
      <c r="B122">
        <v>11</v>
      </c>
      <c r="C122" t="s">
        <v>12</v>
      </c>
      <c r="D122" t="s">
        <v>13</v>
      </c>
      <c r="E122">
        <v>558</v>
      </c>
      <c r="F122">
        <v>527</v>
      </c>
      <c r="G122">
        <v>488</v>
      </c>
      <c r="H122">
        <v>114359</v>
      </c>
      <c r="I122">
        <v>81767</v>
      </c>
      <c r="J122">
        <v>13151</v>
      </c>
      <c r="K122">
        <v>2318.8000000000002</v>
      </c>
      <c r="L122">
        <v>14</v>
      </c>
    </row>
    <row r="123" spans="1:12" x14ac:dyDescent="0.35">
      <c r="A123" s="1">
        <v>46351</v>
      </c>
      <c r="B123">
        <v>11</v>
      </c>
      <c r="C123" t="s">
        <v>12</v>
      </c>
      <c r="D123" t="s">
        <v>14</v>
      </c>
      <c r="E123">
        <v>633</v>
      </c>
      <c r="F123">
        <v>596</v>
      </c>
      <c r="G123">
        <v>495</v>
      </c>
      <c r="H123">
        <v>135888</v>
      </c>
      <c r="I123">
        <v>95122</v>
      </c>
      <c r="J123">
        <v>17122</v>
      </c>
      <c r="K123">
        <v>2324.4</v>
      </c>
      <c r="L123">
        <v>19</v>
      </c>
    </row>
    <row r="124" spans="1:12" x14ac:dyDescent="0.35">
      <c r="A124" s="1">
        <v>46351</v>
      </c>
      <c r="B124">
        <v>11</v>
      </c>
      <c r="C124" t="s">
        <v>12</v>
      </c>
      <c r="D124" t="s">
        <v>15</v>
      </c>
      <c r="E124">
        <v>617</v>
      </c>
      <c r="F124">
        <v>534</v>
      </c>
      <c r="G124">
        <v>514</v>
      </c>
      <c r="H124">
        <v>121218</v>
      </c>
      <c r="I124">
        <v>81337</v>
      </c>
      <c r="J124">
        <v>16364</v>
      </c>
      <c r="K124">
        <v>1922.4</v>
      </c>
      <c r="L124">
        <v>13</v>
      </c>
    </row>
    <row r="125" spans="1:12" x14ac:dyDescent="0.35">
      <c r="A125" s="1">
        <v>46351</v>
      </c>
      <c r="B125">
        <v>11</v>
      </c>
      <c r="C125" t="s">
        <v>12</v>
      </c>
      <c r="D125" t="s">
        <v>16</v>
      </c>
      <c r="E125">
        <v>652</v>
      </c>
      <c r="F125">
        <v>689</v>
      </c>
      <c r="G125">
        <v>648</v>
      </c>
      <c r="H125">
        <v>138489</v>
      </c>
      <c r="I125">
        <v>97081</v>
      </c>
      <c r="J125">
        <v>14957</v>
      </c>
      <c r="K125">
        <v>3031.6</v>
      </c>
      <c r="L125">
        <v>25</v>
      </c>
    </row>
    <row r="126" spans="1:12" x14ac:dyDescent="0.35">
      <c r="A126" s="1">
        <v>46351</v>
      </c>
      <c r="B126">
        <v>11</v>
      </c>
      <c r="C126" t="s">
        <v>17</v>
      </c>
      <c r="D126" t="s">
        <v>13</v>
      </c>
      <c r="E126">
        <v>477</v>
      </c>
      <c r="F126">
        <v>468</v>
      </c>
      <c r="G126">
        <v>402</v>
      </c>
      <c r="H126">
        <v>107640</v>
      </c>
      <c r="I126">
        <v>75886</v>
      </c>
      <c r="J126">
        <v>13024</v>
      </c>
      <c r="K126">
        <v>2012.4</v>
      </c>
      <c r="L126">
        <v>15</v>
      </c>
    </row>
    <row r="127" spans="1:12" x14ac:dyDescent="0.35">
      <c r="A127" s="1">
        <v>46351</v>
      </c>
      <c r="B127">
        <v>11</v>
      </c>
      <c r="C127" t="s">
        <v>17</v>
      </c>
      <c r="D127" t="s">
        <v>14</v>
      </c>
      <c r="E127">
        <v>476</v>
      </c>
      <c r="F127">
        <v>487</v>
      </c>
      <c r="G127">
        <v>404</v>
      </c>
      <c r="H127">
        <v>106166</v>
      </c>
      <c r="I127">
        <v>72724</v>
      </c>
      <c r="J127">
        <v>14439</v>
      </c>
      <c r="K127">
        <v>1850.6</v>
      </c>
      <c r="L127">
        <v>11</v>
      </c>
    </row>
    <row r="128" spans="1:12" x14ac:dyDescent="0.35">
      <c r="A128" s="1">
        <v>46351</v>
      </c>
      <c r="B128">
        <v>11</v>
      </c>
      <c r="C128" t="s">
        <v>17</v>
      </c>
      <c r="D128" t="s">
        <v>15</v>
      </c>
      <c r="E128">
        <v>544</v>
      </c>
      <c r="F128">
        <v>483</v>
      </c>
      <c r="G128">
        <v>425</v>
      </c>
      <c r="H128">
        <v>107226</v>
      </c>
      <c r="I128">
        <v>70555</v>
      </c>
      <c r="J128">
        <v>12867</v>
      </c>
      <c r="K128">
        <v>1835.4</v>
      </c>
      <c r="L128">
        <v>12</v>
      </c>
    </row>
    <row r="129" spans="1:12" x14ac:dyDescent="0.35">
      <c r="A129" s="1">
        <v>46351</v>
      </c>
      <c r="B129">
        <v>11</v>
      </c>
      <c r="C129" t="s">
        <v>17</v>
      </c>
      <c r="D129" t="s">
        <v>16</v>
      </c>
      <c r="E129">
        <v>538</v>
      </c>
      <c r="F129">
        <v>500</v>
      </c>
      <c r="G129">
        <v>464</v>
      </c>
      <c r="H129">
        <v>110500</v>
      </c>
      <c r="I129">
        <v>77350</v>
      </c>
      <c r="J129">
        <v>17128</v>
      </c>
      <c r="K129">
        <v>1900</v>
      </c>
      <c r="L129">
        <v>18</v>
      </c>
    </row>
    <row r="130" spans="1:12" x14ac:dyDescent="0.35">
      <c r="A130" s="1">
        <v>46351</v>
      </c>
      <c r="B130">
        <v>11</v>
      </c>
      <c r="C130" t="s">
        <v>18</v>
      </c>
      <c r="D130" t="s">
        <v>13</v>
      </c>
      <c r="E130">
        <v>511</v>
      </c>
      <c r="F130">
        <v>493</v>
      </c>
      <c r="G130">
        <v>448</v>
      </c>
      <c r="H130">
        <v>102051</v>
      </c>
      <c r="I130">
        <v>65517</v>
      </c>
      <c r="J130">
        <v>15512</v>
      </c>
      <c r="K130">
        <v>1824.1</v>
      </c>
      <c r="L130">
        <v>21</v>
      </c>
    </row>
    <row r="131" spans="1:12" x14ac:dyDescent="0.35">
      <c r="A131" s="1">
        <v>46351</v>
      </c>
      <c r="B131">
        <v>11</v>
      </c>
      <c r="C131" t="s">
        <v>18</v>
      </c>
      <c r="D131" t="s">
        <v>14</v>
      </c>
      <c r="E131">
        <v>481</v>
      </c>
      <c r="F131">
        <v>486</v>
      </c>
      <c r="G131">
        <v>405</v>
      </c>
      <c r="H131">
        <v>98172</v>
      </c>
      <c r="I131">
        <v>66070</v>
      </c>
      <c r="J131">
        <v>15020</v>
      </c>
      <c r="K131">
        <v>1701</v>
      </c>
      <c r="L131">
        <v>17</v>
      </c>
    </row>
    <row r="132" spans="1:12" x14ac:dyDescent="0.35">
      <c r="A132" s="1">
        <v>46351</v>
      </c>
      <c r="B132">
        <v>11</v>
      </c>
      <c r="C132" t="s">
        <v>18</v>
      </c>
      <c r="D132" t="s">
        <v>15</v>
      </c>
      <c r="E132">
        <v>508</v>
      </c>
      <c r="F132">
        <v>459</v>
      </c>
      <c r="G132">
        <v>379</v>
      </c>
      <c r="H132">
        <v>101898</v>
      </c>
      <c r="I132">
        <v>65520</v>
      </c>
      <c r="J132">
        <v>15692</v>
      </c>
      <c r="K132">
        <v>1836</v>
      </c>
      <c r="L132">
        <v>17</v>
      </c>
    </row>
    <row r="133" spans="1:12" x14ac:dyDescent="0.35">
      <c r="A133" s="1">
        <v>46351</v>
      </c>
      <c r="B133">
        <v>11</v>
      </c>
      <c r="C133" t="s">
        <v>18</v>
      </c>
      <c r="D133" t="s">
        <v>16</v>
      </c>
      <c r="E133">
        <v>591</v>
      </c>
      <c r="F133">
        <v>626</v>
      </c>
      <c r="G133">
        <v>548</v>
      </c>
      <c r="H133">
        <v>123322</v>
      </c>
      <c r="I133">
        <v>86819</v>
      </c>
      <c r="J133">
        <v>17882</v>
      </c>
      <c r="K133">
        <v>2566.6</v>
      </c>
      <c r="L133">
        <v>24</v>
      </c>
    </row>
    <row r="134" spans="1:12" x14ac:dyDescent="0.35">
      <c r="A134" s="1">
        <v>46381</v>
      </c>
      <c r="B134">
        <v>12</v>
      </c>
      <c r="C134" t="s">
        <v>12</v>
      </c>
      <c r="D134" t="s">
        <v>13</v>
      </c>
      <c r="E134">
        <v>608</v>
      </c>
      <c r="F134">
        <v>599</v>
      </c>
      <c r="G134">
        <v>581</v>
      </c>
      <c r="H134">
        <v>132978</v>
      </c>
      <c r="I134">
        <v>89627</v>
      </c>
      <c r="J134">
        <v>14628</v>
      </c>
      <c r="K134">
        <v>2240.3000000000002</v>
      </c>
      <c r="L134">
        <v>19</v>
      </c>
    </row>
    <row r="135" spans="1:12" x14ac:dyDescent="0.35">
      <c r="A135" s="1">
        <v>46381</v>
      </c>
      <c r="B135">
        <v>12</v>
      </c>
      <c r="C135" t="s">
        <v>12</v>
      </c>
      <c r="D135" t="s">
        <v>14</v>
      </c>
      <c r="E135">
        <v>636</v>
      </c>
      <c r="F135">
        <v>637</v>
      </c>
      <c r="G135">
        <v>546</v>
      </c>
      <c r="H135">
        <v>131859</v>
      </c>
      <c r="I135">
        <v>83335</v>
      </c>
      <c r="J135">
        <v>19383</v>
      </c>
      <c r="K135">
        <v>2700.9</v>
      </c>
      <c r="L135">
        <v>22</v>
      </c>
    </row>
    <row r="136" spans="1:12" x14ac:dyDescent="0.35">
      <c r="A136" s="1">
        <v>46381</v>
      </c>
      <c r="B136">
        <v>12</v>
      </c>
      <c r="C136" t="s">
        <v>12</v>
      </c>
      <c r="D136" t="s">
        <v>15</v>
      </c>
      <c r="E136">
        <v>645</v>
      </c>
      <c r="F136">
        <v>630</v>
      </c>
      <c r="G136">
        <v>529</v>
      </c>
      <c r="H136">
        <v>120960</v>
      </c>
      <c r="I136">
        <v>81043</v>
      </c>
      <c r="J136">
        <v>18386</v>
      </c>
      <c r="K136">
        <v>2608.1999999999998</v>
      </c>
      <c r="L136">
        <v>22</v>
      </c>
    </row>
    <row r="137" spans="1:12" x14ac:dyDescent="0.35">
      <c r="A137" s="1">
        <v>46381</v>
      </c>
      <c r="B137">
        <v>12</v>
      </c>
      <c r="C137" t="s">
        <v>12</v>
      </c>
      <c r="D137" t="s">
        <v>16</v>
      </c>
      <c r="E137">
        <v>638</v>
      </c>
      <c r="F137">
        <v>660</v>
      </c>
      <c r="G137">
        <v>625</v>
      </c>
      <c r="H137">
        <v>139260</v>
      </c>
      <c r="I137">
        <v>94836</v>
      </c>
      <c r="J137">
        <v>16154</v>
      </c>
      <c r="K137">
        <v>2402.4</v>
      </c>
      <c r="L137">
        <v>19</v>
      </c>
    </row>
    <row r="138" spans="1:12" x14ac:dyDescent="0.35">
      <c r="A138" s="1">
        <v>46381</v>
      </c>
      <c r="B138">
        <v>12</v>
      </c>
      <c r="C138" t="s">
        <v>17</v>
      </c>
      <c r="D138" t="s">
        <v>13</v>
      </c>
      <c r="E138">
        <v>485</v>
      </c>
      <c r="F138">
        <v>432</v>
      </c>
      <c r="G138">
        <v>390</v>
      </c>
      <c r="H138">
        <v>101088</v>
      </c>
      <c r="I138">
        <v>71166</v>
      </c>
      <c r="J138">
        <v>15365</v>
      </c>
      <c r="K138">
        <v>1918.1</v>
      </c>
      <c r="L138">
        <v>10</v>
      </c>
    </row>
    <row r="139" spans="1:12" x14ac:dyDescent="0.35">
      <c r="A139" s="1">
        <v>46381</v>
      </c>
      <c r="B139">
        <v>12</v>
      </c>
      <c r="C139" t="s">
        <v>17</v>
      </c>
      <c r="D139" t="s">
        <v>14</v>
      </c>
      <c r="E139">
        <v>500</v>
      </c>
      <c r="F139">
        <v>497</v>
      </c>
      <c r="G139">
        <v>412</v>
      </c>
      <c r="H139">
        <v>95921</v>
      </c>
      <c r="I139">
        <v>61102</v>
      </c>
      <c r="J139">
        <v>12662</v>
      </c>
      <c r="K139">
        <v>1858.8</v>
      </c>
      <c r="L139">
        <v>13</v>
      </c>
    </row>
    <row r="140" spans="1:12" x14ac:dyDescent="0.35">
      <c r="A140" s="1">
        <v>46381</v>
      </c>
      <c r="B140">
        <v>12</v>
      </c>
      <c r="C140" t="s">
        <v>17</v>
      </c>
      <c r="D140" t="s">
        <v>15</v>
      </c>
      <c r="E140">
        <v>545</v>
      </c>
      <c r="F140">
        <v>546</v>
      </c>
      <c r="G140">
        <v>470</v>
      </c>
      <c r="H140">
        <v>128310</v>
      </c>
      <c r="I140">
        <v>87764</v>
      </c>
      <c r="J140">
        <v>19375</v>
      </c>
      <c r="K140">
        <v>2151.1999999999998</v>
      </c>
      <c r="L140">
        <v>15</v>
      </c>
    </row>
    <row r="141" spans="1:12" x14ac:dyDescent="0.35">
      <c r="A141" s="1">
        <v>46381</v>
      </c>
      <c r="B141">
        <v>12</v>
      </c>
      <c r="C141" t="s">
        <v>17</v>
      </c>
      <c r="D141" t="s">
        <v>16</v>
      </c>
      <c r="E141">
        <v>536</v>
      </c>
      <c r="F141">
        <v>489</v>
      </c>
      <c r="G141">
        <v>452</v>
      </c>
      <c r="H141">
        <v>115893</v>
      </c>
      <c r="I141">
        <v>80314</v>
      </c>
      <c r="J141">
        <v>16225</v>
      </c>
      <c r="K141">
        <v>2024.5</v>
      </c>
      <c r="L141">
        <v>16</v>
      </c>
    </row>
    <row r="142" spans="1:12" x14ac:dyDescent="0.35">
      <c r="A142" s="1">
        <v>46381</v>
      </c>
      <c r="B142">
        <v>12</v>
      </c>
      <c r="C142" t="s">
        <v>18</v>
      </c>
      <c r="D142" t="s">
        <v>13</v>
      </c>
      <c r="E142">
        <v>535</v>
      </c>
      <c r="F142">
        <v>492</v>
      </c>
      <c r="G142">
        <v>446</v>
      </c>
      <c r="H142">
        <v>116112</v>
      </c>
      <c r="I142">
        <v>81627</v>
      </c>
      <c r="J142">
        <v>15443</v>
      </c>
      <c r="K142">
        <v>1840.1</v>
      </c>
      <c r="L142">
        <v>17</v>
      </c>
    </row>
    <row r="143" spans="1:12" x14ac:dyDescent="0.35">
      <c r="A143" s="1">
        <v>46381</v>
      </c>
      <c r="B143">
        <v>12</v>
      </c>
      <c r="C143" t="s">
        <v>18</v>
      </c>
      <c r="D143" t="s">
        <v>14</v>
      </c>
      <c r="E143">
        <v>558</v>
      </c>
      <c r="F143">
        <v>585</v>
      </c>
      <c r="G143">
        <v>538</v>
      </c>
      <c r="H143">
        <v>136890</v>
      </c>
      <c r="I143">
        <v>95686</v>
      </c>
      <c r="J143">
        <v>17111</v>
      </c>
      <c r="K143">
        <v>2421.9</v>
      </c>
      <c r="L143">
        <v>24</v>
      </c>
    </row>
    <row r="144" spans="1:12" x14ac:dyDescent="0.35">
      <c r="A144" s="1">
        <v>46381</v>
      </c>
      <c r="B144">
        <v>12</v>
      </c>
      <c r="C144" t="s">
        <v>18</v>
      </c>
      <c r="D144" t="s">
        <v>15</v>
      </c>
      <c r="E144">
        <v>499</v>
      </c>
      <c r="F144">
        <v>494</v>
      </c>
      <c r="G144">
        <v>472</v>
      </c>
      <c r="H144">
        <v>116584</v>
      </c>
      <c r="I144">
        <v>82775</v>
      </c>
      <c r="J144">
        <v>13174</v>
      </c>
      <c r="K144">
        <v>2144</v>
      </c>
      <c r="L144">
        <v>13</v>
      </c>
    </row>
    <row r="145" spans="1:12" x14ac:dyDescent="0.35">
      <c r="A145" s="1">
        <v>46381</v>
      </c>
      <c r="B145">
        <v>12</v>
      </c>
      <c r="C145" t="s">
        <v>18</v>
      </c>
      <c r="D145" t="s">
        <v>16</v>
      </c>
      <c r="E145">
        <v>554</v>
      </c>
      <c r="F145">
        <v>540</v>
      </c>
      <c r="G145">
        <v>465</v>
      </c>
      <c r="H145">
        <v>122040</v>
      </c>
      <c r="I145">
        <v>78716</v>
      </c>
      <c r="J145">
        <v>15987</v>
      </c>
      <c r="K145">
        <v>2073.6</v>
      </c>
      <c r="L145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6851-D135-4E2E-AF2D-DA010C897BAB}">
  <dimension ref="B1:AL48"/>
  <sheetViews>
    <sheetView showGridLines="0" tabSelected="1" workbookViewId="0"/>
  </sheetViews>
  <sheetFormatPr defaultRowHeight="14.5" x14ac:dyDescent="0.35"/>
  <cols>
    <col min="1" max="1" width="2.6328125" style="4" customWidth="1"/>
    <col min="2" max="20" width="8.6328125" style="4" customWidth="1"/>
    <col min="21" max="16384" width="8.7265625" style="4"/>
  </cols>
  <sheetData>
    <row r="1" spans="2:38" x14ac:dyDescent="0.35">
      <c r="B1" s="8" t="s">
        <v>32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V1" s="5" t="s">
        <v>20</v>
      </c>
      <c r="W1" s="5" t="str">
        <f>IF($D$5="All","*",$D$5)</f>
        <v>*</v>
      </c>
      <c r="X1" s="5" t="s">
        <v>0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/>
      <c r="AG1" s="5" t="s">
        <v>3</v>
      </c>
      <c r="AH1" s="5" t="s">
        <v>23</v>
      </c>
      <c r="AI1" s="5"/>
      <c r="AJ1" s="5" t="s">
        <v>29</v>
      </c>
      <c r="AK1" s="5"/>
      <c r="AL1" s="5" t="s">
        <v>31</v>
      </c>
    </row>
    <row r="2" spans="2:38" x14ac:dyDescent="0.3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V2" s="5" t="s">
        <v>21</v>
      </c>
      <c r="W2" s="5" t="str">
        <f>IF($J$5="All","*",$J$5)</f>
        <v>*</v>
      </c>
      <c r="X2" s="6">
        <v>46047</v>
      </c>
      <c r="Y2" s="5">
        <f>SUMIFS(Data!$E$2:$E$145,Data!$B$2:$B$145,1,Data!$C$2:$C$145,$W$1,Data!$D$2:$D$145,$W$2)</f>
        <v>5569</v>
      </c>
      <c r="Z2" s="5">
        <f>SUMIFS(Data!$F$2:$F$145,Data!$B$2:$B$145,1,Data!$C$2:$C$145,$W$1,Data!$D$2:$D$145,$W$2)</f>
        <v>5261</v>
      </c>
      <c r="AA2" s="7">
        <f>IFERROR(SUMIFS(Data!$G$2:$G$145,Data!$B$2:$B$145,1,Data!$C$2:$C$145,$W$1,Data!$D$2:$D$145,$W$2)/Z2,0)</f>
        <v>0.86409427865424826</v>
      </c>
      <c r="AB2" s="7">
        <f>IFERROR((SUMIFS(Data!$H$2:$H$145,Data!$B$2:$B$145,1,Data!$C$2:$C$145,$W$1,Data!$D$2:$D$145,$W$2)-SUMIFS(Data!$I$2:$I$145,Data!$B$2:$B$145,1,Data!$C$2:$C$145,$W$1,Data!$D$2:$D$145,$W$2))/SUMIFS(Data!$H$2:$H$145,Data!$B$2:$B$145,1,Data!$C$2:$C$145,$W$1,Data!$D$2:$D$145,$W$2),0)</f>
        <v>0.31927971550447404</v>
      </c>
      <c r="AC2" s="5">
        <f>SUMIFS(Data!$H$2:$H$145,Data!$B$2:$B$145,1,Data!$C$2:$C$145,$W$1,Data!$D$2:$D$145,$W$2)-SUMIFS(Data!$I$2:$I$145,Data!$B$2:$B$145,1,Data!$C$2:$C$145,$W$1,Data!$D$2:$D$145,$W$2)</f>
        <v>360023</v>
      </c>
      <c r="AD2" s="5">
        <f>SUMIFS(Data!$J$2:$J$145,Data!$B$2:$B$145,1,Data!$C$2:$C$145,$W$1,Data!$D$2:$D$145,$W$2)</f>
        <v>140775</v>
      </c>
      <c r="AE2" s="7">
        <f>IFERROR(SUMIFS(Data!$L$2:$L$145,Data!$B$2:$B$145,1,Data!$C$2:$C$145,$W$1,Data!$D$2:$D$145,$W$2)/Z2,0)</f>
        <v>4.5808781600456185E-2</v>
      </c>
      <c r="AF2" s="5"/>
      <c r="AG2" s="5" t="s">
        <v>13</v>
      </c>
      <c r="AH2" s="5">
        <f>IF(OR($J$5="All",$J$5=AG2),SUMIFS(Data!$F$2:$F$145,Data!$D$2:$D$145,AG2,Data!$C$2:$C$145,$W$1),0)</f>
        <v>16880</v>
      </c>
      <c r="AI2" s="5"/>
      <c r="AJ2" s="5" t="s">
        <v>30</v>
      </c>
      <c r="AK2" s="5"/>
      <c r="AL2" s="5" t="s">
        <v>30</v>
      </c>
    </row>
    <row r="3" spans="2:38" ht="15" thickBot="1" x14ac:dyDescent="0.4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V3" s="5"/>
      <c r="W3" s="5"/>
      <c r="X3" s="6">
        <v>46078</v>
      </c>
      <c r="Y3" s="5">
        <f>SUMIFS(Data!$E$2:$E$145,Data!$B$2:$B$145,2,Data!$C$2:$C$145,$W$1,Data!$D$2:$D$145,$W$2)</f>
        <v>5652</v>
      </c>
      <c r="Z3" s="5">
        <f>SUMIFS(Data!$F$2:$F$145,Data!$B$2:$B$145,2,Data!$C$2:$C$145,$W$1,Data!$D$2:$D$145,$W$2)</f>
        <v>5177</v>
      </c>
      <c r="AA3" s="7">
        <f>IFERROR(SUMIFS(Data!$G$2:$G$145,Data!$B$2:$B$145,2,Data!$C$2:$C$145,$W$1,Data!$D$2:$D$145,$W$2)/Z3,0)</f>
        <v>0.85976434228317555</v>
      </c>
      <c r="AB3" s="7">
        <f>IFERROR((SUMIFS(Data!$H$2:$H$145,Data!$B$2:$B$145,2,Data!$C$2:$C$145,$W$1,Data!$D$2:$D$145,$W$2)-SUMIFS(Data!$I$2:$I$145,Data!$B$2:$B$145,2,Data!$C$2:$C$145,$W$1,Data!$D$2:$D$145,$W$2))/SUMIFS(Data!$H$2:$H$145,Data!$B$2:$B$145,2,Data!$C$2:$C$145,$W$1,Data!$D$2:$D$145,$W$2),0)</f>
        <v>0.3119343665129693</v>
      </c>
      <c r="AC3" s="5">
        <f>SUMIFS(Data!$H$2:$H$145,Data!$B$2:$B$145,2,Data!$C$2:$C$145,$W$1,Data!$D$2:$D$145,$W$2)-SUMIFS(Data!$I$2:$I$145,Data!$B$2:$B$145,2,Data!$C$2:$C$145,$W$1,Data!$D$2:$D$145,$W$2)</f>
        <v>346983</v>
      </c>
      <c r="AD3" s="5">
        <f>SUMIFS(Data!$J$2:$J$145,Data!$B$2:$B$145,2,Data!$C$2:$C$145,$W$1,Data!$D$2:$D$145,$W$2)</f>
        <v>143823</v>
      </c>
      <c r="AE3" s="7">
        <f>IFERROR(SUMIFS(Data!$L$2:$L$145,Data!$B$2:$B$145,2,Data!$C$2:$C$145,$W$1,Data!$D$2:$D$145,$W$2)/Z3,0)</f>
        <v>4.5586246861116474E-2</v>
      </c>
      <c r="AF3" s="5"/>
      <c r="AG3" s="5" t="s">
        <v>14</v>
      </c>
      <c r="AH3" s="5">
        <f>IF(OR($J$5="All",$J$5=AG3),SUMIFS(Data!$F$2:$F$145,Data!$D$2:$D$145,AG3,Data!$C$2:$C$145,$W$1),0)</f>
        <v>16833</v>
      </c>
      <c r="AI3" s="5"/>
      <c r="AJ3" s="5" t="s">
        <v>12</v>
      </c>
      <c r="AK3" s="5"/>
      <c r="AL3" s="5" t="s">
        <v>13</v>
      </c>
    </row>
    <row r="4" spans="2:38" ht="15.5" thickTop="1" thickBot="1" x14ac:dyDescent="0.4">
      <c r="V4" s="5"/>
      <c r="W4" s="5"/>
      <c r="X4" s="6">
        <v>46106</v>
      </c>
      <c r="Y4" s="5">
        <f>SUMIFS(Data!$E$2:$E$145,Data!$B$2:$B$145,3,Data!$C$2:$C$145,$W$1,Data!$D$2:$D$145,$W$2)</f>
        <v>5588</v>
      </c>
      <c r="Z4" s="5">
        <f>SUMIFS(Data!$F$2:$F$145,Data!$B$2:$B$145,3,Data!$C$2:$C$145,$W$1,Data!$D$2:$D$145,$W$2)</f>
        <v>5127</v>
      </c>
      <c r="AA4" s="7">
        <f>IFERROR(SUMIFS(Data!$G$2:$G$145,Data!$B$2:$B$145,3,Data!$C$2:$C$145,$W$1,Data!$D$2:$D$145,$W$2)/Z4,0)</f>
        <v>0.88433781938755607</v>
      </c>
      <c r="AB4" s="7">
        <f>IFERROR((SUMIFS(Data!$H$2:$H$145,Data!$B$2:$B$145,3,Data!$C$2:$C$145,$W$1,Data!$D$2:$D$145,$W$2)-SUMIFS(Data!$I$2:$I$145,Data!$B$2:$B$145,3,Data!$C$2:$C$145,$W$1,Data!$D$2:$D$145,$W$2))/SUMIFS(Data!$H$2:$H$145,Data!$B$2:$B$145,3,Data!$C$2:$C$145,$W$1,Data!$D$2:$D$145,$W$2),0)</f>
        <v>0.33330588380615145</v>
      </c>
      <c r="AC4" s="5">
        <f>SUMIFS(Data!$H$2:$H$145,Data!$B$2:$B$145,3,Data!$C$2:$C$145,$W$1,Data!$D$2:$D$145,$W$2)-SUMIFS(Data!$I$2:$I$145,Data!$B$2:$B$145,3,Data!$C$2:$C$145,$W$1,Data!$D$2:$D$145,$W$2)</f>
        <v>380465</v>
      </c>
      <c r="AD4" s="5">
        <f>SUMIFS(Data!$J$2:$J$145,Data!$B$2:$B$145,3,Data!$C$2:$C$145,$W$1,Data!$D$2:$D$145,$W$2)</f>
        <v>152548</v>
      </c>
      <c r="AE4" s="7">
        <f>IFERROR(SUMIFS(Data!$L$2:$L$145,Data!$B$2:$B$145,3,Data!$C$2:$C$145,$W$1,Data!$D$2:$D$145,$W$2)/Z4,0)</f>
        <v>4.1739808855080947E-2</v>
      </c>
      <c r="AF4" s="5"/>
      <c r="AG4" s="5" t="s">
        <v>15</v>
      </c>
      <c r="AH4" s="5">
        <f>IF(OR($J$5="All",$J$5=AG4),SUMIFS(Data!$F$2:$F$145,Data!$D$2:$D$145,AG4,Data!$C$2:$C$145,$W$1),0)</f>
        <v>17203</v>
      </c>
      <c r="AI4" s="5"/>
      <c r="AJ4" s="5" t="s">
        <v>17</v>
      </c>
      <c r="AK4" s="5"/>
      <c r="AL4" s="5" t="s">
        <v>14</v>
      </c>
    </row>
    <row r="5" spans="2:38" ht="15" thickBot="1" x14ac:dyDescent="0.4">
      <c r="B5" s="11" t="s">
        <v>2</v>
      </c>
      <c r="C5" s="11"/>
      <c r="D5" s="12" t="s">
        <v>30</v>
      </c>
      <c r="E5" s="12"/>
      <c r="F5" s="12"/>
      <c r="H5" s="11" t="s">
        <v>3</v>
      </c>
      <c r="I5" s="11"/>
      <c r="J5" s="12" t="s">
        <v>30</v>
      </c>
      <c r="K5" s="12"/>
      <c r="L5" s="12"/>
      <c r="N5" s="13" t="s">
        <v>33</v>
      </c>
      <c r="V5" s="5"/>
      <c r="W5" s="5"/>
      <c r="X5" s="6">
        <v>46137</v>
      </c>
      <c r="Y5" s="5">
        <f>SUMIFS(Data!$E$2:$E$145,Data!$B$2:$B$145,4,Data!$C$2:$C$145,$W$1,Data!$D$2:$D$145,$W$2)</f>
        <v>5915</v>
      </c>
      <c r="Z5" s="5">
        <f>SUMIFS(Data!$F$2:$F$145,Data!$B$2:$B$145,4,Data!$C$2:$C$145,$W$1,Data!$D$2:$D$145,$W$2)</f>
        <v>5611</v>
      </c>
      <c r="AA5" s="7">
        <f>IFERROR(SUMIFS(Data!$G$2:$G$145,Data!$B$2:$B$145,4,Data!$C$2:$C$145,$W$1,Data!$D$2:$D$145,$W$2)/Z5,0)</f>
        <v>0.89413651755480306</v>
      </c>
      <c r="AB5" s="7">
        <f>IFERROR((SUMIFS(Data!$H$2:$H$145,Data!$B$2:$B$145,4,Data!$C$2:$C$145,$W$1,Data!$D$2:$D$145,$W$2)-SUMIFS(Data!$I$2:$I$145,Data!$B$2:$B$145,4,Data!$C$2:$C$145,$W$1,Data!$D$2:$D$145,$W$2))/SUMIFS(Data!$H$2:$H$145,Data!$B$2:$B$145,4,Data!$C$2:$C$145,$W$1,Data!$D$2:$D$145,$W$2),0)</f>
        <v>0.31723920679962431</v>
      </c>
      <c r="AC5" s="5">
        <f>SUMIFS(Data!$H$2:$H$145,Data!$B$2:$B$145,4,Data!$C$2:$C$145,$W$1,Data!$D$2:$D$145,$W$2)-SUMIFS(Data!$I$2:$I$145,Data!$B$2:$B$145,4,Data!$C$2:$C$145,$W$1,Data!$D$2:$D$145,$W$2)</f>
        <v>379663</v>
      </c>
      <c r="AD5" s="5">
        <f>SUMIFS(Data!$J$2:$J$145,Data!$B$2:$B$145,4,Data!$C$2:$C$145,$W$1,Data!$D$2:$D$145,$W$2)</f>
        <v>151129</v>
      </c>
      <c r="AE5" s="7">
        <f>IFERROR(SUMIFS(Data!$L$2:$L$145,Data!$B$2:$B$145,4,Data!$C$2:$C$145,$W$1,Data!$D$2:$D$145,$W$2)/Z5,0)</f>
        <v>4.152557476385671E-2</v>
      </c>
      <c r="AF5" s="5"/>
      <c r="AG5" s="5" t="s">
        <v>16</v>
      </c>
      <c r="AH5" s="5">
        <f>IF(OR($J$5="All",$J$5=AG5),SUMIFS(Data!$F$2:$F$145,Data!$D$2:$D$145,AG5,Data!$C$2:$C$145,$W$1),0)</f>
        <v>18580</v>
      </c>
      <c r="AI5" s="5"/>
      <c r="AJ5" s="5" t="s">
        <v>18</v>
      </c>
      <c r="AK5" s="5"/>
      <c r="AL5" s="5" t="s">
        <v>15</v>
      </c>
    </row>
    <row r="6" spans="2:38" x14ac:dyDescent="0.35">
      <c r="V6" s="5"/>
      <c r="W6" s="5"/>
      <c r="X6" s="6">
        <v>46167</v>
      </c>
      <c r="Y6" s="5">
        <f>SUMIFS(Data!$E$2:$E$145,Data!$B$2:$B$145,5,Data!$C$2:$C$145,$W$1,Data!$D$2:$D$145,$W$2)</f>
        <v>5912</v>
      </c>
      <c r="Z6" s="5">
        <f>SUMIFS(Data!$F$2:$F$145,Data!$B$2:$B$145,5,Data!$C$2:$C$145,$W$1,Data!$D$2:$D$145,$W$2)</f>
        <v>5577</v>
      </c>
      <c r="AA6" s="7">
        <f>IFERROR(SUMIFS(Data!$G$2:$G$145,Data!$B$2:$B$145,5,Data!$C$2:$C$145,$W$1,Data!$D$2:$D$145,$W$2)/Z6,0)</f>
        <v>0.87860857091626321</v>
      </c>
      <c r="AB6" s="7">
        <f>IFERROR((SUMIFS(Data!$H$2:$H$145,Data!$B$2:$B$145,5,Data!$C$2:$C$145,$W$1,Data!$D$2:$D$145,$W$2)-SUMIFS(Data!$I$2:$I$145,Data!$B$2:$B$145,5,Data!$C$2:$C$145,$W$1,Data!$D$2:$D$145,$W$2))/SUMIFS(Data!$H$2:$H$145,Data!$B$2:$B$145,5,Data!$C$2:$C$145,$W$1,Data!$D$2:$D$145,$W$2),0)</f>
        <v>0.32282353264765495</v>
      </c>
      <c r="AC6" s="5">
        <f>SUMIFS(Data!$H$2:$H$145,Data!$B$2:$B$145,5,Data!$C$2:$C$145,$W$1,Data!$D$2:$D$145,$W$2)-SUMIFS(Data!$I$2:$I$145,Data!$B$2:$B$145,5,Data!$C$2:$C$145,$W$1,Data!$D$2:$D$145,$W$2)</f>
        <v>375580</v>
      </c>
      <c r="AD6" s="5">
        <f>SUMIFS(Data!$J$2:$J$145,Data!$B$2:$B$145,5,Data!$C$2:$C$145,$W$1,Data!$D$2:$D$145,$W$2)</f>
        <v>140169</v>
      </c>
      <c r="AE6" s="7">
        <f>IFERROR(SUMIFS(Data!$L$2:$L$145,Data!$B$2:$B$145,5,Data!$C$2:$C$145,$W$1,Data!$D$2:$D$145,$W$2)/Z6,0)</f>
        <v>3.9447731755424063E-2</v>
      </c>
      <c r="AF6" s="5"/>
      <c r="AG6" s="5"/>
      <c r="AH6" s="5"/>
      <c r="AI6" s="5"/>
      <c r="AJ6" s="5"/>
      <c r="AK6" s="5"/>
      <c r="AL6" s="5" t="s">
        <v>16</v>
      </c>
    </row>
    <row r="7" spans="2:38" x14ac:dyDescent="0.35">
      <c r="B7" s="15" t="s">
        <v>26</v>
      </c>
      <c r="C7" s="16"/>
      <c r="D7" s="16"/>
      <c r="E7" s="17"/>
      <c r="G7" s="15" t="s">
        <v>25</v>
      </c>
      <c r="H7" s="16"/>
      <c r="I7" s="16"/>
      <c r="J7" s="17"/>
      <c r="L7" s="15" t="s">
        <v>23</v>
      </c>
      <c r="M7" s="16"/>
      <c r="N7" s="16"/>
      <c r="O7" s="17"/>
      <c r="Q7" s="15" t="s">
        <v>34</v>
      </c>
      <c r="R7" s="16"/>
      <c r="S7" s="16"/>
      <c r="T7" s="17"/>
      <c r="V7" s="5"/>
      <c r="W7" s="5"/>
      <c r="X7" s="6">
        <v>46198</v>
      </c>
      <c r="Y7" s="5">
        <f>SUMIFS(Data!$E$2:$E$145,Data!$B$2:$B$145,6,Data!$C$2:$C$145,$W$1,Data!$D$2:$D$145,$W$2)</f>
        <v>5965</v>
      </c>
      <c r="Z7" s="5">
        <f>SUMIFS(Data!$F$2:$F$145,Data!$B$2:$B$145,6,Data!$C$2:$C$145,$W$1,Data!$D$2:$D$145,$W$2)</f>
        <v>5672</v>
      </c>
      <c r="AA7" s="7">
        <f>IFERROR(SUMIFS(Data!$G$2:$G$145,Data!$B$2:$B$145,6,Data!$C$2:$C$145,$W$1,Data!$D$2:$D$145,$W$2)/Z7,0)</f>
        <v>0.88945698166431597</v>
      </c>
      <c r="AB7" s="7">
        <f>IFERROR((SUMIFS(Data!$H$2:$H$145,Data!$B$2:$B$145,6,Data!$C$2:$C$145,$W$1,Data!$D$2:$D$145,$W$2)-SUMIFS(Data!$I$2:$I$145,Data!$B$2:$B$145,6,Data!$C$2:$C$145,$W$1,Data!$D$2:$D$145,$W$2))/SUMIFS(Data!$H$2:$H$145,Data!$B$2:$B$145,6,Data!$C$2:$C$145,$W$1,Data!$D$2:$D$145,$W$2),0)</f>
        <v>0.32397138728708597</v>
      </c>
      <c r="AC7" s="5">
        <f>SUMIFS(Data!$H$2:$H$145,Data!$B$2:$B$145,6,Data!$C$2:$C$145,$W$1,Data!$D$2:$D$145,$W$2)-SUMIFS(Data!$I$2:$I$145,Data!$B$2:$B$145,6,Data!$C$2:$C$145,$W$1,Data!$D$2:$D$145,$W$2)</f>
        <v>389227</v>
      </c>
      <c r="AD7" s="5">
        <f>SUMIFS(Data!$J$2:$J$145,Data!$B$2:$B$145,6,Data!$C$2:$C$145,$W$1,Data!$D$2:$D$145,$W$2)</f>
        <v>169213</v>
      </c>
      <c r="AE7" s="7">
        <f>IFERROR(SUMIFS(Data!$L$2:$L$145,Data!$B$2:$B$145,6,Data!$C$2:$C$145,$W$1,Data!$D$2:$D$145,$W$2)/Z7,0)</f>
        <v>3.5084626234132582E-2</v>
      </c>
      <c r="AF7" s="5"/>
      <c r="AG7" s="5"/>
      <c r="AH7" s="5"/>
      <c r="AI7" s="5"/>
      <c r="AJ7" s="5"/>
      <c r="AK7" s="5"/>
      <c r="AL7" s="5"/>
    </row>
    <row r="8" spans="2:38" x14ac:dyDescent="0.35">
      <c r="B8" s="18">
        <f>SUM($AC$2:$AC$13)</f>
        <v>4762625</v>
      </c>
      <c r="C8" s="14"/>
      <c r="D8" s="14"/>
      <c r="E8" s="19"/>
      <c r="G8" s="23">
        <f>IFERROR(SUM($AC$2:$AC$13)/SUMIFS(Data!$H$2:$H$145,Data!$C$2:$C$145,$W$1,Data!$D$2:$D$145,$W$2),0)</f>
        <v>0.31992857164928878</v>
      </c>
      <c r="H8" s="14"/>
      <c r="I8" s="14"/>
      <c r="J8" s="19"/>
      <c r="L8" s="18">
        <f>SUM($Z$2:$Z$13)</f>
        <v>69496</v>
      </c>
      <c r="M8" s="14"/>
      <c r="N8" s="14"/>
      <c r="O8" s="19"/>
      <c r="Q8" s="23">
        <f>IFERROR(SUM($Z$2:$Z$13)/SUM($Y$2:$Y$13),0)</f>
        <v>0.94911365436617412</v>
      </c>
      <c r="R8" s="14"/>
      <c r="S8" s="14"/>
      <c r="T8" s="19"/>
      <c r="V8" s="5"/>
      <c r="W8" s="5"/>
      <c r="X8" s="6">
        <v>46228</v>
      </c>
      <c r="Y8" s="5">
        <f>SUMIFS(Data!$E$2:$E$145,Data!$B$2:$B$145,7,Data!$C$2:$C$145,$W$1,Data!$D$2:$D$145,$W$2)</f>
        <v>6170</v>
      </c>
      <c r="Z8" s="5">
        <f>SUMIFS(Data!$F$2:$F$145,Data!$B$2:$B$145,7,Data!$C$2:$C$145,$W$1,Data!$D$2:$D$145,$W$2)</f>
        <v>5978</v>
      </c>
      <c r="AA8" s="7">
        <f>IFERROR(SUMIFS(Data!$G$2:$G$145,Data!$B$2:$B$145,7,Data!$C$2:$C$145,$W$1,Data!$D$2:$D$145,$W$2)/Z8,0)</f>
        <v>0.91217798594847777</v>
      </c>
      <c r="AB8" s="7">
        <f>IFERROR((SUMIFS(Data!$H$2:$H$145,Data!$B$2:$B$145,7,Data!$C$2:$C$145,$W$1,Data!$D$2:$D$145,$W$2)-SUMIFS(Data!$I$2:$I$145,Data!$B$2:$B$145,7,Data!$C$2:$C$145,$W$1,Data!$D$2:$D$145,$W$2))/SUMIFS(Data!$H$2:$H$145,Data!$B$2:$B$145,7,Data!$C$2:$C$145,$W$1,Data!$D$2:$D$145,$W$2),0)</f>
        <v>0.31003875654934338</v>
      </c>
      <c r="AC8" s="5">
        <f>SUMIFS(Data!$H$2:$H$145,Data!$B$2:$B$145,7,Data!$C$2:$C$145,$W$1,Data!$D$2:$D$145,$W$2)-SUMIFS(Data!$I$2:$I$145,Data!$B$2:$B$145,7,Data!$C$2:$C$145,$W$1,Data!$D$2:$D$145,$W$2)</f>
        <v>386463</v>
      </c>
      <c r="AD8" s="5">
        <f>SUMIFS(Data!$J$2:$J$145,Data!$B$2:$B$145,7,Data!$C$2:$C$145,$W$1,Data!$D$2:$D$145,$W$2)</f>
        <v>161375</v>
      </c>
      <c r="AE8" s="7">
        <f>IFERROR(SUMIFS(Data!$L$2:$L$145,Data!$B$2:$B$145,7,Data!$C$2:$C$145,$W$1,Data!$D$2:$D$145,$W$2)/Z8,0)</f>
        <v>3.9143526262964204E-2</v>
      </c>
      <c r="AF8" s="5"/>
      <c r="AG8" s="5"/>
      <c r="AH8" s="5"/>
      <c r="AI8" s="5"/>
      <c r="AJ8" s="5"/>
      <c r="AK8" s="5"/>
      <c r="AL8" s="5"/>
    </row>
    <row r="9" spans="2:38" x14ac:dyDescent="0.35">
      <c r="B9" s="20"/>
      <c r="C9" s="21"/>
      <c r="D9" s="21"/>
      <c r="E9" s="22"/>
      <c r="G9" s="20"/>
      <c r="H9" s="21"/>
      <c r="I9" s="21"/>
      <c r="J9" s="22"/>
      <c r="L9" s="20"/>
      <c r="M9" s="21"/>
      <c r="N9" s="21"/>
      <c r="O9" s="22"/>
      <c r="Q9" s="20"/>
      <c r="R9" s="21"/>
      <c r="S9" s="21"/>
      <c r="T9" s="22"/>
      <c r="V9" s="5"/>
      <c r="W9" s="5"/>
      <c r="X9" s="6">
        <v>46259</v>
      </c>
      <c r="Y9" s="5">
        <f>SUMIFS(Data!$E$2:$E$145,Data!$B$2:$B$145,8,Data!$C$2:$C$145,$W$1,Data!$D$2:$D$145,$W$2)</f>
        <v>6392</v>
      </c>
      <c r="Z9" s="5">
        <f>SUMIFS(Data!$F$2:$F$145,Data!$B$2:$B$145,8,Data!$C$2:$C$145,$W$1,Data!$D$2:$D$145,$W$2)</f>
        <v>6003</v>
      </c>
      <c r="AA9" s="7">
        <f>IFERROR(SUMIFS(Data!$G$2:$G$145,Data!$B$2:$B$145,8,Data!$C$2:$C$145,$W$1,Data!$D$2:$D$145,$W$2)/Z9,0)</f>
        <v>0.8935532233883059</v>
      </c>
      <c r="AB9" s="7">
        <f>IFERROR((SUMIFS(Data!$H$2:$H$145,Data!$B$2:$B$145,8,Data!$C$2:$C$145,$W$1,Data!$D$2:$D$145,$W$2)-SUMIFS(Data!$I$2:$I$145,Data!$B$2:$B$145,8,Data!$C$2:$C$145,$W$1,Data!$D$2:$D$145,$W$2))/SUMIFS(Data!$H$2:$H$145,Data!$B$2:$B$145,8,Data!$C$2:$C$145,$W$1,Data!$D$2:$D$145,$W$2),0)</f>
        <v>0.31580984042657356</v>
      </c>
      <c r="AC9" s="5">
        <f>SUMIFS(Data!$H$2:$H$145,Data!$B$2:$B$145,8,Data!$C$2:$C$145,$W$1,Data!$D$2:$D$145,$W$2)-SUMIFS(Data!$I$2:$I$145,Data!$B$2:$B$145,8,Data!$C$2:$C$145,$W$1,Data!$D$2:$D$145,$W$2)</f>
        <v>403160</v>
      </c>
      <c r="AD9" s="5">
        <f>SUMIFS(Data!$J$2:$J$145,Data!$B$2:$B$145,8,Data!$C$2:$C$145,$W$1,Data!$D$2:$D$145,$W$2)</f>
        <v>162173</v>
      </c>
      <c r="AE9" s="7">
        <f>IFERROR(SUMIFS(Data!$L$2:$L$145,Data!$B$2:$B$145,8,Data!$C$2:$C$145,$W$1,Data!$D$2:$D$145,$W$2)/Z9,0)</f>
        <v>3.5149092120606365E-2</v>
      </c>
      <c r="AF9" s="5"/>
      <c r="AG9" s="5"/>
      <c r="AH9" s="5"/>
      <c r="AI9" s="5"/>
      <c r="AJ9" s="5"/>
      <c r="AK9" s="5"/>
      <c r="AL9" s="5"/>
    </row>
    <row r="10" spans="2:38" x14ac:dyDescent="0.35">
      <c r="V10" s="5"/>
      <c r="W10" s="5"/>
      <c r="X10" s="6">
        <v>46290</v>
      </c>
      <c r="Y10" s="5">
        <f>SUMIFS(Data!$E$2:$E$145,Data!$B$2:$B$145,9,Data!$C$2:$C$145,$W$1,Data!$D$2:$D$145,$W$2)</f>
        <v>6176</v>
      </c>
      <c r="Z10" s="5">
        <f>SUMIFS(Data!$F$2:$F$145,Data!$B$2:$B$145,9,Data!$C$2:$C$145,$W$1,Data!$D$2:$D$145,$W$2)</f>
        <v>5896</v>
      </c>
      <c r="AA10" s="7">
        <f>IFERROR(SUMIFS(Data!$G$2:$G$145,Data!$B$2:$B$145,9,Data!$C$2:$C$145,$W$1,Data!$D$2:$D$145,$W$2)/Z10,0)</f>
        <v>0.88042740841248301</v>
      </c>
      <c r="AB10" s="7">
        <f>IFERROR((SUMIFS(Data!$H$2:$H$145,Data!$B$2:$B$145,9,Data!$C$2:$C$145,$W$1,Data!$D$2:$D$145,$W$2)-SUMIFS(Data!$I$2:$I$145,Data!$B$2:$B$145,9,Data!$C$2:$C$145,$W$1,Data!$D$2:$D$145,$W$2))/SUMIFS(Data!$H$2:$H$145,Data!$B$2:$B$145,9,Data!$C$2:$C$145,$W$1,Data!$D$2:$D$145,$W$2),0)</f>
        <v>0.31886833783165036</v>
      </c>
      <c r="AC10" s="5">
        <f>SUMIFS(Data!$H$2:$H$145,Data!$B$2:$B$145,9,Data!$C$2:$C$145,$W$1,Data!$D$2:$D$145,$W$2)-SUMIFS(Data!$I$2:$I$145,Data!$B$2:$B$145,9,Data!$C$2:$C$145,$W$1,Data!$D$2:$D$145,$W$2)</f>
        <v>403224</v>
      </c>
      <c r="AD10" s="5">
        <f>SUMIFS(Data!$J$2:$J$145,Data!$B$2:$B$145,9,Data!$C$2:$C$145,$W$1,Data!$D$2:$D$145,$W$2)</f>
        <v>166588</v>
      </c>
      <c r="AE10" s="7">
        <f>IFERROR(SUMIFS(Data!$L$2:$L$145,Data!$B$2:$B$145,9,Data!$C$2:$C$145,$W$1,Data!$D$2:$D$145,$W$2)/Z10,0)</f>
        <v>3.4260515603799183E-2</v>
      </c>
      <c r="AF10" s="5"/>
      <c r="AG10" s="5"/>
      <c r="AH10" s="5"/>
      <c r="AI10" s="5"/>
      <c r="AJ10" s="5"/>
      <c r="AK10" s="5"/>
      <c r="AL10" s="5"/>
    </row>
    <row r="11" spans="2:38" x14ac:dyDescent="0.35">
      <c r="B11" s="15" t="s">
        <v>24</v>
      </c>
      <c r="C11" s="16"/>
      <c r="D11" s="16"/>
      <c r="E11" s="17"/>
      <c r="G11" s="15" t="s">
        <v>35</v>
      </c>
      <c r="H11" s="16"/>
      <c r="I11" s="16"/>
      <c r="J11" s="17"/>
      <c r="L11" s="15" t="s">
        <v>36</v>
      </c>
      <c r="M11" s="16"/>
      <c r="N11" s="16"/>
      <c r="O11" s="17"/>
      <c r="Q11" s="15" t="s">
        <v>27</v>
      </c>
      <c r="R11" s="16"/>
      <c r="S11" s="16"/>
      <c r="T11" s="17"/>
      <c r="V11" s="5"/>
      <c r="W11" s="5"/>
      <c r="X11" s="6">
        <v>46320</v>
      </c>
      <c r="Y11" s="5">
        <f>SUMIFS(Data!$E$2:$E$145,Data!$B$2:$B$145,10,Data!$C$2:$C$145,$W$1,Data!$D$2:$D$145,$W$2)</f>
        <v>6558</v>
      </c>
      <c r="Z11" s="5">
        <f>SUMIFS(Data!$F$2:$F$145,Data!$B$2:$B$145,10,Data!$C$2:$C$145,$W$1,Data!$D$2:$D$145,$W$2)</f>
        <v>6245</v>
      </c>
      <c r="AA11" s="7">
        <f>IFERROR(SUMIFS(Data!$G$2:$G$145,Data!$B$2:$B$145,10,Data!$C$2:$C$145,$W$1,Data!$D$2:$D$145,$W$2)/Z11,0)</f>
        <v>0.91833466773418737</v>
      </c>
      <c r="AB11" s="7">
        <f>IFERROR((SUMIFS(Data!$H$2:$H$145,Data!$B$2:$B$145,10,Data!$C$2:$C$145,$W$1,Data!$D$2:$D$145,$W$2)-SUMIFS(Data!$I$2:$I$145,Data!$B$2:$B$145,10,Data!$C$2:$C$145,$W$1,Data!$D$2:$D$145,$W$2))/SUMIFS(Data!$H$2:$H$145,Data!$B$2:$B$145,10,Data!$C$2:$C$145,$W$1,Data!$D$2:$D$145,$W$2),0)</f>
        <v>0.32814095383207526</v>
      </c>
      <c r="AC11" s="5">
        <f>SUMIFS(Data!$H$2:$H$145,Data!$B$2:$B$145,10,Data!$C$2:$C$145,$W$1,Data!$D$2:$D$145,$W$2)-SUMIFS(Data!$I$2:$I$145,Data!$B$2:$B$145,10,Data!$C$2:$C$145,$W$1,Data!$D$2:$D$145,$W$2)</f>
        <v>436752</v>
      </c>
      <c r="AD11" s="5">
        <f>SUMIFS(Data!$J$2:$J$145,Data!$B$2:$B$145,10,Data!$C$2:$C$145,$W$1,Data!$D$2:$D$145,$W$2)</f>
        <v>170748</v>
      </c>
      <c r="AE11" s="7">
        <f>IFERROR(SUMIFS(Data!$L$2:$L$145,Data!$B$2:$B$145,10,Data!$C$2:$C$145,$W$1,Data!$D$2:$D$145,$W$2)/Z11,0)</f>
        <v>3.2185748598879106E-2</v>
      </c>
      <c r="AF11" s="5"/>
      <c r="AG11" s="5"/>
      <c r="AH11" s="5"/>
      <c r="AI11" s="5"/>
      <c r="AJ11" s="5"/>
      <c r="AK11" s="5"/>
      <c r="AL11" s="5"/>
    </row>
    <row r="12" spans="2:38" x14ac:dyDescent="0.35">
      <c r="B12" s="23">
        <f>IFERROR(SUMIFS(Data!$G$2:$G$145,Data!$C$2:$C$145,$W$1,Data!$D$2:$D$145,$W$2)/SUM($Z$2:$Z$13),0)</f>
        <v>0.88900080580177276</v>
      </c>
      <c r="C12" s="14"/>
      <c r="D12" s="14"/>
      <c r="E12" s="19"/>
      <c r="G12" s="24">
        <f>IFERROR(SUMIFS(Data!$K$2:$K$145,Data!$C$2:$C$145,$W$1,Data!$D$2:$D$145,$W$2)/SUM($Z$2:$Z$13),0)</f>
        <v>4.2355488085645208</v>
      </c>
      <c r="H12" s="14"/>
      <c r="I12" s="14"/>
      <c r="J12" s="19"/>
      <c r="L12" s="23">
        <f>IFERROR(SUMIFS(Data!$L$2:$L$145,Data!$C$2:$C$145,$W$1,Data!$D$2:$D$145,$W$2)/SUM($Z$2:$Z$13),0)</f>
        <v>3.7426614481409E-2</v>
      </c>
      <c r="M12" s="14"/>
      <c r="N12" s="14"/>
      <c r="O12" s="19"/>
      <c r="Q12" s="18">
        <f>SUM($AD$2:$AD$13)</f>
        <v>1935592</v>
      </c>
      <c r="R12" s="14"/>
      <c r="S12" s="14"/>
      <c r="T12" s="19"/>
      <c r="V12" s="5"/>
      <c r="W12" s="5"/>
      <c r="X12" s="6">
        <v>46351</v>
      </c>
      <c r="Y12" s="5">
        <f>SUMIFS(Data!$E$2:$E$145,Data!$B$2:$B$145,11,Data!$C$2:$C$145,$W$1,Data!$D$2:$D$145,$W$2)</f>
        <v>6586</v>
      </c>
      <c r="Z12" s="5">
        <f>SUMIFS(Data!$F$2:$F$145,Data!$B$2:$B$145,11,Data!$C$2:$C$145,$W$1,Data!$D$2:$D$145,$W$2)</f>
        <v>6348</v>
      </c>
      <c r="AA12" s="7">
        <f>IFERROR(SUMIFS(Data!$G$2:$G$145,Data!$B$2:$B$145,11,Data!$C$2:$C$145,$W$1,Data!$D$2:$D$145,$W$2)/Z12,0)</f>
        <v>0.88531821045998738</v>
      </c>
      <c r="AB12" s="7">
        <f>IFERROR((SUMIFS(Data!$H$2:$H$145,Data!$B$2:$B$145,11,Data!$C$2:$C$145,$W$1,Data!$D$2:$D$145,$W$2)-SUMIFS(Data!$I$2:$I$145,Data!$B$2:$B$145,11,Data!$C$2:$C$145,$W$1,Data!$D$2:$D$145,$W$2))/SUMIFS(Data!$H$2:$H$145,Data!$B$2:$B$145,11,Data!$C$2:$C$145,$W$1,Data!$D$2:$D$145,$W$2),0)</f>
        <v>0.3154377440232814</v>
      </c>
      <c r="AC12" s="5">
        <f>SUMIFS(Data!$H$2:$H$145,Data!$B$2:$B$145,11,Data!$C$2:$C$145,$W$1,Data!$D$2:$D$145,$W$2)-SUMIFS(Data!$I$2:$I$145,Data!$B$2:$B$145,11,Data!$C$2:$C$145,$W$1,Data!$D$2:$D$145,$W$2)</f>
        <v>431181</v>
      </c>
      <c r="AD12" s="5">
        <f>SUMIFS(Data!$J$2:$J$145,Data!$B$2:$B$145,11,Data!$C$2:$C$145,$W$1,Data!$D$2:$D$145,$W$2)</f>
        <v>183158</v>
      </c>
      <c r="AE12" s="7">
        <f>IFERROR(SUMIFS(Data!$L$2:$L$145,Data!$B$2:$B$145,11,Data!$C$2:$C$145,$W$1,Data!$D$2:$D$145,$W$2)/Z12,0)</f>
        <v>3.2451165721487082E-2</v>
      </c>
      <c r="AF12" s="5"/>
      <c r="AG12" s="5"/>
      <c r="AH12" s="5"/>
      <c r="AI12" s="5"/>
      <c r="AJ12" s="5"/>
      <c r="AK12" s="5"/>
      <c r="AL12" s="5"/>
    </row>
    <row r="13" spans="2:38" x14ac:dyDescent="0.35">
      <c r="B13" s="20"/>
      <c r="C13" s="21"/>
      <c r="D13" s="21"/>
      <c r="E13" s="22"/>
      <c r="G13" s="20"/>
      <c r="H13" s="21"/>
      <c r="I13" s="21"/>
      <c r="J13" s="22"/>
      <c r="L13" s="20"/>
      <c r="M13" s="21"/>
      <c r="N13" s="21"/>
      <c r="O13" s="22"/>
      <c r="Q13" s="20"/>
      <c r="R13" s="21"/>
      <c r="S13" s="21"/>
      <c r="T13" s="22"/>
      <c r="V13" s="5"/>
      <c r="W13" s="5"/>
      <c r="X13" s="6">
        <v>46381</v>
      </c>
      <c r="Y13" s="5">
        <f>SUMIFS(Data!$E$2:$E$145,Data!$B$2:$B$145,12,Data!$C$2:$C$145,$W$1,Data!$D$2:$D$145,$W$2)</f>
        <v>6739</v>
      </c>
      <c r="Z13" s="5">
        <f>SUMIFS(Data!$F$2:$F$145,Data!$B$2:$B$145,12,Data!$C$2:$C$145,$W$1,Data!$D$2:$D$145,$W$2)</f>
        <v>6601</v>
      </c>
      <c r="AA13" s="7">
        <f>IFERROR(SUMIFS(Data!$G$2:$G$145,Data!$B$2:$B$145,12,Data!$C$2:$C$145,$W$1,Data!$D$2:$D$145,$W$2)/Z13,0)</f>
        <v>0.89774276624753824</v>
      </c>
      <c r="AB13" s="7">
        <f>IFERROR((SUMIFS(Data!$H$2:$H$145,Data!$B$2:$B$145,12,Data!$C$2:$C$145,$W$1,Data!$D$2:$D$145,$W$2)-SUMIFS(Data!$I$2:$I$145,Data!$B$2:$B$145,12,Data!$C$2:$C$145,$W$1,Data!$D$2:$D$145,$W$2))/SUMIFS(Data!$H$2:$H$145,Data!$B$2:$B$145,12,Data!$C$2:$C$145,$W$1,Data!$D$2:$D$145,$W$2),0)</f>
        <v>0.32231676492477168</v>
      </c>
      <c r="AC13" s="5">
        <f>SUMIFS(Data!$H$2:$H$145,Data!$B$2:$B$145,12,Data!$C$2:$C$145,$W$1,Data!$D$2:$D$145,$W$2)-SUMIFS(Data!$I$2:$I$145,Data!$B$2:$B$145,12,Data!$C$2:$C$145,$W$1,Data!$D$2:$D$145,$W$2)</f>
        <v>469904</v>
      </c>
      <c r="AD13" s="5">
        <f>SUMIFS(Data!$J$2:$J$145,Data!$B$2:$B$145,12,Data!$C$2:$C$145,$W$1,Data!$D$2:$D$145,$W$2)</f>
        <v>193893</v>
      </c>
      <c r="AE13" s="7">
        <f>IFERROR(SUMIFS(Data!$L$2:$L$145,Data!$B$2:$B$145,12,Data!$C$2:$C$145,$W$1,Data!$D$2:$D$145,$W$2)/Z13,0)</f>
        <v>3.0904408422966219E-2</v>
      </c>
      <c r="AF13" s="5"/>
      <c r="AG13" s="5"/>
      <c r="AH13" s="5"/>
      <c r="AI13" s="5"/>
      <c r="AJ13" s="5"/>
      <c r="AK13" s="5"/>
      <c r="AL13" s="5"/>
    </row>
    <row r="14" spans="2:38" x14ac:dyDescent="0.35"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48" spans="2:2" x14ac:dyDescent="0.35">
      <c r="B48" s="13" t="s">
        <v>37</v>
      </c>
    </row>
  </sheetData>
  <mergeCells count="21">
    <mergeCell ref="Q11:T11"/>
    <mergeCell ref="Q12:T13"/>
    <mergeCell ref="B11:E11"/>
    <mergeCell ref="B12:E13"/>
    <mergeCell ref="G11:J11"/>
    <mergeCell ref="G12:J13"/>
    <mergeCell ref="L11:O11"/>
    <mergeCell ref="L12:O13"/>
    <mergeCell ref="B8:E9"/>
    <mergeCell ref="G7:J7"/>
    <mergeCell ref="G8:J9"/>
    <mergeCell ref="L7:O7"/>
    <mergeCell ref="L8:O9"/>
    <mergeCell ref="Q7:T7"/>
    <mergeCell ref="Q8:T9"/>
    <mergeCell ref="B1:T3"/>
    <mergeCell ref="B5:C5"/>
    <mergeCell ref="D5:F5"/>
    <mergeCell ref="H5:I5"/>
    <mergeCell ref="J5:L5"/>
    <mergeCell ref="B7:E7"/>
  </mergeCells>
  <dataValidations count="2">
    <dataValidation type="list" allowBlank="1" showInputMessage="1" showErrorMessage="1" sqref="D5" xr:uid="{EE6346D7-C46D-4DB3-A96C-12D5B583E58A}">
      <formula1>$AJ$2:$AJ$5</formula1>
    </dataValidation>
    <dataValidation type="list" allowBlank="1" showInputMessage="1" showErrorMessage="1" sqref="J5" xr:uid="{6A1F0A7B-51B1-4B5C-91C3-1219C3B3E2F8}">
      <formula1>$AL$2:$AL$6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Rathod</dc:creator>
  <cp:lastModifiedBy>Sumit Rathod</cp:lastModifiedBy>
  <dcterms:created xsi:type="dcterms:W3CDTF">2026-10-09T09:12:10Z</dcterms:created>
  <dcterms:modified xsi:type="dcterms:W3CDTF">2026-10-09T09:12:32Z</dcterms:modified>
</cp:coreProperties>
</file>